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931a47612db4168b/Desktop/Excel Learning/01_Project/"/>
    </mc:Choice>
  </mc:AlternateContent>
  <xr:revisionPtr revIDLastSave="281" documentId="11_04E0AA445411500D358794DDB64630C62689E8CB" xr6:coauthVersionLast="47" xr6:coauthVersionMax="47" xr10:uidLastSave="{69814284-2DDE-419B-848E-D978856C0FE0}"/>
  <bookViews>
    <workbookView xWindow="-98" yWindow="-98" windowWidth="28996" windowHeight="15675" firstSheet="1" activeTab="1" xr2:uid="{00000000-000D-0000-FFFF-FFFF00000000}"/>
  </bookViews>
  <sheets>
    <sheet name="Sales" sheetId="1" state="hidden" r:id="rId1"/>
    <sheet name="01_sales" sheetId="4" r:id="rId2"/>
    <sheet name="Products" sheetId="2" state="hidden" r:id="rId3"/>
    <sheet name="01_products" sheetId="5" r:id="rId4"/>
    <sheet name="01_salespeople" sheetId="7" r:id="rId5"/>
    <sheet name="Salespeople" sheetId="3" state="hidden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02" i="4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" i="1"/>
  <c r="G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" i="4"/>
  <c r="F2" i="1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4" i="4"/>
  <c r="I3" i="4"/>
  <c r="I2" i="4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K201" i="4" a="1"/>
  <c r="K200" i="4" a="1"/>
  <c r="K199" i="4" a="1"/>
  <c r="K198" i="4" a="1"/>
  <c r="K197" i="4" a="1"/>
  <c r="K196" i="4" a="1"/>
  <c r="K195" i="4" a="1"/>
  <c r="K194" i="4" a="1"/>
  <c r="K193" i="4" a="1"/>
  <c r="K192" i="4" a="1"/>
  <c r="K191" i="4" a="1"/>
  <c r="K190" i="4" a="1"/>
  <c r="K189" i="4" a="1"/>
  <c r="K188" i="4" a="1"/>
  <c r="K187" i="4" a="1"/>
  <c r="K186" i="4" a="1"/>
  <c r="K185" i="4" a="1"/>
  <c r="K184" i="4" a="1"/>
  <c r="K183" i="4" a="1"/>
  <c r="K182" i="4" a="1"/>
  <c r="K181" i="4" a="1"/>
  <c r="K180" i="4" a="1"/>
  <c r="K179" i="4" a="1"/>
  <c r="K178" i="4" a="1"/>
  <c r="K177" i="4" a="1"/>
  <c r="K176" i="4" a="1"/>
  <c r="K175" i="4" a="1"/>
  <c r="K174" i="4" a="1"/>
  <c r="K173" i="4" a="1"/>
  <c r="K172" i="4" a="1"/>
  <c r="K171" i="4" a="1"/>
  <c r="K170" i="4" a="1"/>
  <c r="K169" i="4" a="1"/>
  <c r="K168" i="4" a="1"/>
  <c r="K167" i="4" a="1"/>
  <c r="K166" i="4" a="1"/>
  <c r="K165" i="4" a="1"/>
  <c r="K164" i="4" a="1"/>
  <c r="K163" i="4" a="1"/>
  <c r="K162" i="4" a="1"/>
  <c r="K161" i="4" a="1"/>
  <c r="K160" i="4" a="1"/>
  <c r="K159" i="4" a="1"/>
  <c r="K158" i="4" a="1"/>
  <c r="K157" i="4" a="1"/>
  <c r="K156" i="4" a="1"/>
  <c r="K155" i="4" a="1"/>
  <c r="K154" i="4" a="1"/>
  <c r="K153" i="4" a="1"/>
  <c r="K152" i="4" a="1"/>
  <c r="K151" i="4" a="1"/>
  <c r="K150" i="4" a="1"/>
  <c r="K149" i="4" a="1"/>
  <c r="K148" i="4" a="1"/>
  <c r="K147" i="4" a="1"/>
  <c r="K146" i="4" a="1"/>
  <c r="K145" i="4" a="1"/>
  <c r="K144" i="4" a="1"/>
  <c r="K143" i="4" a="1"/>
  <c r="K142" i="4" a="1"/>
  <c r="K141" i="4" a="1"/>
  <c r="K140" i="4" a="1"/>
  <c r="K139" i="4" a="1"/>
  <c r="K138" i="4" a="1"/>
  <c r="K137" i="4" a="1"/>
  <c r="K136" i="4" a="1"/>
  <c r="K135" i="4" a="1"/>
  <c r="K134" i="4" a="1"/>
  <c r="K133" i="4" a="1"/>
  <c r="K132" i="4" a="1"/>
  <c r="K131" i="4" a="1"/>
  <c r="K130" i="4" a="1"/>
  <c r="K129" i="4" a="1"/>
  <c r="K128" i="4" a="1"/>
  <c r="K127" i="4" a="1"/>
  <c r="K126" i="4" a="1"/>
  <c r="K125" i="4" a="1"/>
  <c r="K124" i="4" a="1"/>
  <c r="K123" i="4" a="1"/>
  <c r="K122" i="4" a="1"/>
  <c r="K121" i="4" a="1"/>
  <c r="K120" i="4" a="1"/>
  <c r="K119" i="4" a="1"/>
  <c r="K118" i="4" a="1"/>
  <c r="K117" i="4" a="1"/>
  <c r="K116" i="4" a="1"/>
  <c r="K115" i="4" a="1"/>
  <c r="K114" i="4" a="1"/>
  <c r="K113" i="4" a="1"/>
  <c r="K112" i="4" a="1"/>
  <c r="K111" i="4" a="1"/>
  <c r="K110" i="4" a="1"/>
  <c r="K109" i="4" a="1"/>
  <c r="K108" i="4" a="1"/>
  <c r="K107" i="4" a="1"/>
  <c r="K106" i="4" a="1"/>
  <c r="K105" i="4" a="1"/>
  <c r="K104" i="4" a="1"/>
  <c r="K103" i="4" a="1"/>
  <c r="K102" i="4" a="1"/>
  <c r="K101" i="4" a="1"/>
  <c r="K100" i="4" a="1"/>
  <c r="K99" i="4" a="1"/>
  <c r="K98" i="4" a="1"/>
  <c r="K97" i="4" a="1"/>
  <c r="K96" i="4" a="1"/>
  <c r="K95" i="4" a="1"/>
  <c r="K94" i="4" a="1"/>
  <c r="K93" i="4" a="1"/>
  <c r="K92" i="4" a="1"/>
  <c r="K91" i="4" a="1"/>
  <c r="K90" i="4" a="1"/>
  <c r="K89" i="4" a="1"/>
  <c r="K88" i="4" a="1"/>
  <c r="K87" i="4" a="1"/>
  <c r="K86" i="4" a="1"/>
  <c r="K85" i="4" a="1"/>
  <c r="K84" i="4" a="1"/>
  <c r="K83" i="4" a="1"/>
  <c r="K82" i="4" a="1"/>
  <c r="K81" i="4" a="1"/>
  <c r="K80" i="4" a="1"/>
  <c r="K79" i="4" a="1"/>
  <c r="K78" i="4" a="1"/>
  <c r="K77" i="4" a="1"/>
  <c r="K76" i="4" a="1"/>
  <c r="K75" i="4" a="1"/>
  <c r="K74" i="4" a="1"/>
  <c r="K73" i="4" a="1"/>
  <c r="K72" i="4" a="1"/>
  <c r="K71" i="4" a="1"/>
  <c r="K70" i="4" a="1"/>
  <c r="K69" i="4" a="1"/>
  <c r="K68" i="4" a="1"/>
  <c r="K67" i="4" a="1"/>
  <c r="K66" i="4" a="1"/>
  <c r="K65" i="4" a="1"/>
  <c r="K64" i="4" a="1"/>
  <c r="K63" i="4" a="1"/>
  <c r="K62" i="4" a="1"/>
  <c r="K61" i="4" a="1"/>
  <c r="K60" i="4" a="1"/>
  <c r="K59" i="4" a="1"/>
  <c r="K58" i="4" a="1"/>
  <c r="K57" i="4" a="1"/>
  <c r="K56" i="4" a="1"/>
  <c r="K55" i="4" a="1"/>
  <c r="K54" i="4" a="1"/>
  <c r="K53" i="4" a="1"/>
  <c r="K52" i="4" a="1"/>
  <c r="K51" i="4" a="1"/>
  <c r="K50" i="4" a="1"/>
  <c r="K49" i="4" a="1"/>
  <c r="K48" i="4" a="1"/>
  <c r="K47" i="4" a="1"/>
  <c r="K46" i="4" a="1"/>
  <c r="K45" i="4" a="1"/>
  <c r="K44" i="4" a="1"/>
  <c r="K43" i="4" a="1"/>
  <c r="K42" i="4" a="1"/>
  <c r="K41" i="4" a="1"/>
  <c r="K40" i="4" a="1"/>
  <c r="K39" i="4" a="1"/>
  <c r="K38" i="4" a="1"/>
  <c r="K37" i="4" a="1"/>
  <c r="K36" i="4" a="1"/>
  <c r="K35" i="4" a="1"/>
  <c r="K34" i="4" a="1"/>
  <c r="K33" i="4" a="1"/>
  <c r="K32" i="4" a="1"/>
  <c r="K31" i="4" a="1"/>
  <c r="K30" i="4" a="1"/>
  <c r="K29" i="4" a="1"/>
  <c r="K28" i="4" a="1"/>
  <c r="K27" i="4" a="1"/>
  <c r="K26" i="4" a="1"/>
  <c r="K25" i="4" a="1"/>
  <c r="K24" i="4" a="1"/>
  <c r="K23" i="4" a="1"/>
  <c r="K22" i="4" a="1"/>
  <c r="K21" i="4" a="1"/>
  <c r="K20" i="4" a="1"/>
  <c r="K19" i="4" a="1"/>
  <c r="K18" i="4" a="1"/>
  <c r="K17" i="4" a="1"/>
  <c r="K16" i="4" a="1"/>
  <c r="K15" i="4" a="1"/>
  <c r="K14" i="4" a="1"/>
  <c r="K13" i="4" a="1"/>
  <c r="K12" i="4" a="1"/>
  <c r="K11" i="4" a="1"/>
  <c r="K10" i="4" a="1"/>
  <c r="K9" i="4" a="1"/>
  <c r="K8" i="4" a="1"/>
  <c r="K7" i="4" a="1"/>
  <c r="K6" i="4" a="1"/>
  <c r="K5" i="4" a="1"/>
  <c r="K4" i="4" a="1"/>
  <c r="K3" i="4" a="1"/>
  <c r="K2" i="4" a="1"/>
  <c r="K3" i="1" a="1"/>
  <c r="K4" i="1" a="1"/>
  <c r="K5" i="1" a="1"/>
  <c r="K6" i="1" a="1"/>
  <c r="K7" i="1" a="1"/>
  <c r="K8" i="1" a="1"/>
  <c r="K9" i="1" a="1"/>
  <c r="K10" i="1" a="1"/>
  <c r="K11" i="1" a="1"/>
  <c r="K12" i="1" a="1"/>
  <c r="K13" i="1" a="1"/>
  <c r="K14" i="1" a="1"/>
  <c r="K15" i="1" a="1"/>
  <c r="K16" i="1" a="1"/>
  <c r="K17" i="1" a="1"/>
  <c r="K18" i="1" a="1"/>
  <c r="K19" i="1" a="1"/>
  <c r="K20" i="1" a="1"/>
  <c r="K21" i="1" a="1"/>
  <c r="K22" i="1" a="1"/>
  <c r="K23" i="1" a="1"/>
  <c r="K24" i="1" a="1"/>
  <c r="K25" i="1" a="1"/>
  <c r="K26" i="1" a="1"/>
  <c r="K27" i="1" a="1"/>
  <c r="K28" i="1" a="1"/>
  <c r="K29" i="1" a="1"/>
  <c r="K30" i="1" a="1"/>
  <c r="K31" i="1" a="1"/>
  <c r="K32" i="1" a="1"/>
  <c r="K33" i="1" a="1"/>
  <c r="K34" i="1" a="1"/>
  <c r="K35" i="1" a="1"/>
  <c r="K36" i="1" a="1"/>
  <c r="K37" i="1" a="1"/>
  <c r="K38" i="1" a="1"/>
  <c r="K39" i="1" a="1"/>
  <c r="K40" i="1" a="1"/>
  <c r="K41" i="1" a="1"/>
  <c r="K42" i="1" a="1"/>
  <c r="K43" i="1" a="1"/>
  <c r="K44" i="1" a="1"/>
  <c r="K45" i="1" a="1"/>
  <c r="K46" i="1" a="1"/>
  <c r="K47" i="1" a="1"/>
  <c r="K48" i="1" a="1"/>
  <c r="K49" i="1" a="1"/>
  <c r="K50" i="1" a="1"/>
  <c r="K51" i="1" a="1"/>
  <c r="K52" i="1" a="1"/>
  <c r="K53" i="1" a="1"/>
  <c r="K54" i="1" a="1"/>
  <c r="K55" i="1" a="1"/>
  <c r="K56" i="1" a="1"/>
  <c r="K57" i="1" a="1"/>
  <c r="K58" i="1" a="1"/>
  <c r="K59" i="1" a="1"/>
  <c r="K60" i="1" a="1"/>
  <c r="K61" i="1" a="1"/>
  <c r="K62" i="1" a="1"/>
  <c r="K63" i="1" a="1"/>
  <c r="K64" i="1" a="1"/>
  <c r="K65" i="1" a="1"/>
  <c r="K66" i="1" a="1"/>
  <c r="K67" i="1" a="1"/>
  <c r="K68" i="1" a="1"/>
  <c r="K69" i="1" a="1"/>
  <c r="K70" i="1" a="1"/>
  <c r="K71" i="1" a="1"/>
  <c r="K72" i="1" a="1"/>
  <c r="K73" i="1" a="1"/>
  <c r="K74" i="1" a="1"/>
  <c r="K75" i="1" a="1"/>
  <c r="K76" i="1" a="1"/>
  <c r="K77" i="1" a="1"/>
  <c r="K78" i="1" a="1"/>
  <c r="K79" i="1" a="1"/>
  <c r="K80" i="1" a="1"/>
  <c r="K81" i="1" a="1"/>
  <c r="K82" i="1" a="1"/>
  <c r="K83" i="1" a="1"/>
  <c r="K84" i="1" a="1"/>
  <c r="K85" i="1" a="1"/>
  <c r="K86" i="1" a="1"/>
  <c r="K87" i="1" a="1"/>
  <c r="K88" i="1" a="1"/>
  <c r="K89" i="1" a="1"/>
  <c r="K90" i="1" a="1"/>
  <c r="K91" i="1" a="1"/>
  <c r="K92" i="1" a="1"/>
  <c r="K93" i="1" a="1"/>
  <c r="K94" i="1" a="1"/>
  <c r="K95" i="1" a="1"/>
  <c r="K96" i="1" a="1"/>
  <c r="K97" i="1" a="1"/>
  <c r="K98" i="1" a="1"/>
  <c r="K99" i="1" a="1"/>
  <c r="K100" i="1" a="1"/>
  <c r="K101" i="1" a="1"/>
  <c r="K102" i="1" a="1"/>
  <c r="K103" i="1" a="1"/>
  <c r="K104" i="1" a="1"/>
  <c r="K105" i="1" a="1"/>
  <c r="K106" i="1" a="1"/>
  <c r="K107" i="1" a="1"/>
  <c r="K108" i="1" a="1"/>
  <c r="K109" i="1" a="1"/>
  <c r="K110" i="1" a="1"/>
  <c r="K111" i="1" a="1"/>
  <c r="K112" i="1" a="1"/>
  <c r="K113" i="1" a="1"/>
  <c r="K114" i="1" a="1"/>
  <c r="K115" i="1" a="1"/>
  <c r="K116" i="1" a="1"/>
  <c r="K117" i="1" a="1"/>
  <c r="K118" i="1" a="1"/>
  <c r="K119" i="1" a="1"/>
  <c r="K120" i="1" a="1"/>
  <c r="K121" i="1" a="1"/>
  <c r="K122" i="1" a="1"/>
  <c r="K123" i="1" a="1"/>
  <c r="K124" i="1" a="1"/>
  <c r="K125" i="1" a="1"/>
  <c r="K126" i="1" a="1"/>
  <c r="K127" i="1" a="1"/>
  <c r="K128" i="1" a="1"/>
  <c r="K129" i="1" a="1"/>
  <c r="K130" i="1" a="1"/>
  <c r="K131" i="1" a="1"/>
  <c r="K132" i="1" a="1"/>
  <c r="K133" i="1" a="1"/>
  <c r="K134" i="1" a="1"/>
  <c r="K135" i="1" a="1"/>
  <c r="K136" i="1" a="1"/>
  <c r="K137" i="1" a="1"/>
  <c r="K138" i="1" a="1"/>
  <c r="K139" i="1" a="1"/>
  <c r="K140" i="1" a="1"/>
  <c r="K141" i="1" a="1"/>
  <c r="K142" i="1" a="1"/>
  <c r="K143" i="1" a="1"/>
  <c r="K144" i="1" a="1"/>
  <c r="K145" i="1" a="1"/>
  <c r="K146" i="1" a="1"/>
  <c r="K147" i="1" a="1"/>
  <c r="K148" i="1" a="1"/>
  <c r="K149" i="1" a="1"/>
  <c r="K150" i="1" a="1"/>
  <c r="K151" i="1" a="1"/>
  <c r="K152" i="1" a="1"/>
  <c r="K153" i="1" a="1"/>
  <c r="K154" i="1" a="1"/>
  <c r="K155" i="1" a="1"/>
  <c r="K156" i="1" a="1"/>
  <c r="K157" i="1" a="1"/>
  <c r="K158" i="1" a="1"/>
  <c r="K159" i="1" a="1"/>
  <c r="K160" i="1" a="1"/>
  <c r="K161" i="1" a="1"/>
  <c r="K162" i="1" a="1"/>
  <c r="K163" i="1" a="1"/>
  <c r="K164" i="1" a="1"/>
  <c r="K165" i="1" a="1"/>
  <c r="K166" i="1" a="1"/>
  <c r="K167" i="1" a="1"/>
  <c r="K168" i="1" a="1"/>
  <c r="K169" i="1" a="1"/>
  <c r="K170" i="1" a="1"/>
  <c r="K171" i="1" a="1"/>
  <c r="K172" i="1" a="1"/>
  <c r="K173" i="1" a="1"/>
  <c r="K174" i="1" a="1"/>
  <c r="K175" i="1" a="1"/>
  <c r="K176" i="1" a="1"/>
  <c r="K177" i="1" a="1"/>
  <c r="K178" i="1" a="1"/>
  <c r="K179" i="1" a="1"/>
  <c r="K180" i="1" a="1"/>
  <c r="K181" i="1" a="1"/>
  <c r="K182" i="1" a="1"/>
  <c r="K183" i="1" a="1"/>
  <c r="K184" i="1" a="1"/>
  <c r="K185" i="1" a="1"/>
  <c r="K186" i="1" a="1"/>
  <c r="K187" i="1" a="1"/>
  <c r="K188" i="1" a="1"/>
  <c r="K189" i="1" a="1"/>
  <c r="K190" i="1" a="1"/>
  <c r="K191" i="1" a="1"/>
  <c r="K192" i="1" a="1"/>
  <c r="K193" i="1" a="1"/>
  <c r="K194" i="1" a="1"/>
  <c r="K195" i="1" a="1"/>
  <c r="K196" i="1" a="1"/>
  <c r="K197" i="1" a="1"/>
  <c r="K198" i="1" a="1"/>
  <c r="K199" i="1" a="1"/>
  <c r="K200" i="1" a="1"/>
  <c r="K201" i="1" a="1"/>
  <c r="K2" i="1" a="1"/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" i="1"/>
  <c r="L71" i="4"/>
  <c r="L70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4" i="4"/>
  <c r="L10" i="4"/>
  <c r="L9" i="4"/>
  <c r="L8" i="4"/>
  <c r="L7" i="4"/>
  <c r="L6" i="4"/>
  <c r="L5" i="4"/>
  <c r="L4" i="4"/>
  <c r="L201" i="4"/>
  <c r="L200" i="4"/>
  <c r="L199" i="4"/>
  <c r="L198" i="4"/>
  <c r="L197" i="4"/>
  <c r="L196" i="4"/>
  <c r="L195" i="4"/>
  <c r="L194" i="4"/>
  <c r="L193" i="4"/>
  <c r="L192" i="4"/>
  <c r="L191" i="4"/>
  <c r="L190" i="4"/>
  <c r="L189" i="4"/>
  <c r="L188" i="4"/>
  <c r="L187" i="4"/>
  <c r="L186" i="4"/>
  <c r="L185" i="4"/>
  <c r="L184" i="4"/>
  <c r="L183" i="4"/>
  <c r="L182" i="4"/>
  <c r="L181" i="4"/>
  <c r="L180" i="4"/>
  <c r="L179" i="4"/>
  <c r="L178" i="4"/>
  <c r="L177" i="4"/>
  <c r="L176" i="4"/>
  <c r="L175" i="4"/>
  <c r="L174" i="4"/>
  <c r="L173" i="4"/>
  <c r="L172" i="4"/>
  <c r="L171" i="4"/>
  <c r="L170" i="4"/>
  <c r="L169" i="4"/>
  <c r="L168" i="4"/>
  <c r="L167" i="4"/>
  <c r="L166" i="4"/>
  <c r="L165" i="4"/>
  <c r="L164" i="4"/>
  <c r="L163" i="4"/>
  <c r="L162" i="4"/>
  <c r="L161" i="4"/>
  <c r="L160" i="4"/>
  <c r="L159" i="4"/>
  <c r="L158" i="4"/>
  <c r="L157" i="4"/>
  <c r="L156" i="4"/>
  <c r="L155" i="4"/>
  <c r="L154" i="4"/>
  <c r="L153" i="4"/>
  <c r="L152" i="4"/>
  <c r="L151" i="4"/>
  <c r="L150" i="4"/>
  <c r="L149" i="4"/>
  <c r="L148" i="4"/>
  <c r="L147" i="4"/>
  <c r="L146" i="4"/>
  <c r="L145" i="4"/>
  <c r="L144" i="4"/>
  <c r="L143" i="4"/>
  <c r="L142" i="4"/>
  <c r="L141" i="4"/>
  <c r="L140" i="4"/>
  <c r="L139" i="4"/>
  <c r="L138" i="4"/>
  <c r="L137" i="4"/>
  <c r="L136" i="4"/>
  <c r="L135" i="4"/>
  <c r="L134" i="4"/>
  <c r="L133" i="4"/>
  <c r="L132" i="4"/>
  <c r="L131" i="4"/>
  <c r="L130" i="4"/>
  <c r="L129" i="4"/>
  <c r="L128" i="4"/>
  <c r="L127" i="4"/>
  <c r="L126" i="4"/>
  <c r="L125" i="4"/>
  <c r="L124" i="4"/>
  <c r="L123" i="4"/>
  <c r="L122" i="4"/>
  <c r="L121" i="4"/>
  <c r="L120" i="4"/>
  <c r="L119" i="4"/>
  <c r="L118" i="4"/>
  <c r="L117" i="4"/>
  <c r="L116" i="4"/>
  <c r="L115" i="4"/>
  <c r="L114" i="4"/>
  <c r="L113" i="4"/>
  <c r="L112" i="4"/>
  <c r="L111" i="4"/>
  <c r="L110" i="4"/>
  <c r="L109" i="4"/>
  <c r="L108" i="4"/>
  <c r="L107" i="4"/>
  <c r="L106" i="4"/>
  <c r="L105" i="4"/>
  <c r="L104" i="4"/>
  <c r="L103" i="4"/>
  <c r="L102" i="4"/>
  <c r="L101" i="4"/>
  <c r="L100" i="4"/>
  <c r="L99" i="4"/>
  <c r="L98" i="4"/>
  <c r="L97" i="4"/>
  <c r="L96" i="4"/>
  <c r="L95" i="4"/>
  <c r="L94" i="4"/>
  <c r="L93" i="4"/>
  <c r="L92" i="4"/>
  <c r="L91" i="4"/>
  <c r="L90" i="4"/>
  <c r="L89" i="4"/>
  <c r="L88" i="4"/>
  <c r="L87" i="4"/>
  <c r="L86" i="4"/>
  <c r="L85" i="4"/>
  <c r="L84" i="4"/>
  <c r="L83" i="4"/>
  <c r="L82" i="4"/>
  <c r="L81" i="4"/>
  <c r="L80" i="4"/>
  <c r="L79" i="4"/>
  <c r="L78" i="4"/>
  <c r="L77" i="4"/>
  <c r="L76" i="4"/>
  <c r="L75" i="4"/>
  <c r="L74" i="4"/>
  <c r="L73" i="4"/>
  <c r="L72" i="4"/>
  <c r="L26" i="4"/>
  <c r="L25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3" i="4"/>
  <c r="L2" i="4"/>
  <c r="M3" i="1" l="1" a="1"/>
  <c r="N3" i="1"/>
  <c r="O3" i="1" s="1"/>
  <c r="M4" i="1" a="1"/>
  <c r="N4" i="1"/>
  <c r="O4" i="1" s="1"/>
  <c r="M5" i="1" a="1"/>
  <c r="N5" i="1"/>
  <c r="O5" i="1" s="1"/>
  <c r="M6" i="1" a="1"/>
  <c r="N6" i="1"/>
  <c r="O6" i="1" s="1"/>
  <c r="M7" i="1" a="1"/>
  <c r="N7" i="1"/>
  <c r="O7" i="1" s="1"/>
  <c r="M8" i="1" a="1"/>
  <c r="N8" i="1"/>
  <c r="O8" i="1" s="1"/>
  <c r="M9" i="1" a="1"/>
  <c r="N9" i="1"/>
  <c r="O9" i="1" s="1"/>
  <c r="M10" i="1" a="1"/>
  <c r="N10" i="1"/>
  <c r="O10" i="1" s="1"/>
  <c r="M11" i="1" a="1"/>
  <c r="N11" i="1"/>
  <c r="O11" i="1" s="1"/>
  <c r="M12" i="1" a="1"/>
  <c r="N12" i="1"/>
  <c r="O12" i="1" s="1"/>
  <c r="M13" i="1" a="1"/>
  <c r="N13" i="1"/>
  <c r="O13" i="1" s="1"/>
  <c r="M14" i="1" a="1"/>
  <c r="N14" i="1"/>
  <c r="O14" i="1" s="1"/>
  <c r="M15" i="1" a="1"/>
  <c r="N15" i="1"/>
  <c r="O15" i="1" s="1"/>
  <c r="M16" i="1" a="1"/>
  <c r="N16" i="1"/>
  <c r="O16" i="1" s="1"/>
  <c r="M17" i="1" a="1"/>
  <c r="N17" i="1"/>
  <c r="O17" i="1" s="1"/>
  <c r="M18" i="1" a="1"/>
  <c r="N18" i="1"/>
  <c r="O18" i="1" s="1"/>
  <c r="M19" i="1" a="1"/>
  <c r="N19" i="1"/>
  <c r="O19" i="1" s="1"/>
  <c r="M20" i="1" a="1"/>
  <c r="N20" i="1"/>
  <c r="O20" i="1" s="1"/>
  <c r="M21" i="1" a="1"/>
  <c r="N21" i="1"/>
  <c r="O21" i="1" s="1"/>
  <c r="M22" i="1" a="1"/>
  <c r="N22" i="1"/>
  <c r="O22" i="1" s="1"/>
  <c r="M23" i="1" a="1"/>
  <c r="N23" i="1"/>
  <c r="O23" i="1" s="1"/>
  <c r="M24" i="1" a="1"/>
  <c r="N24" i="1"/>
  <c r="O24" i="1" s="1"/>
  <c r="M25" i="1" a="1"/>
  <c r="N25" i="1"/>
  <c r="O25" i="1" s="1"/>
  <c r="M26" i="1" a="1"/>
  <c r="N26" i="1"/>
  <c r="O26" i="1" s="1"/>
  <c r="M27" i="1" a="1"/>
  <c r="N27" i="1"/>
  <c r="O27" i="1" s="1"/>
  <c r="M28" i="1" a="1"/>
  <c r="N28" i="1"/>
  <c r="O28" i="1" s="1"/>
  <c r="M29" i="1" a="1"/>
  <c r="N29" i="1"/>
  <c r="O29" i="1" s="1"/>
  <c r="M30" i="1" a="1"/>
  <c r="N30" i="1"/>
  <c r="O30" i="1" s="1"/>
  <c r="M31" i="1" a="1"/>
  <c r="N31" i="1"/>
  <c r="O31" i="1" s="1"/>
  <c r="M32" i="1" a="1"/>
  <c r="N32" i="1"/>
  <c r="O32" i="1" s="1"/>
  <c r="M33" i="1" a="1"/>
  <c r="N33" i="1"/>
  <c r="O33" i="1" s="1"/>
  <c r="M34" i="1" a="1"/>
  <c r="N34" i="1"/>
  <c r="O34" i="1" s="1"/>
  <c r="M35" i="1" a="1"/>
  <c r="N35" i="1"/>
  <c r="O35" i="1" s="1"/>
  <c r="M36" i="1" a="1"/>
  <c r="N36" i="1"/>
  <c r="O36" i="1" s="1"/>
  <c r="M37" i="1" a="1"/>
  <c r="N37" i="1"/>
  <c r="O37" i="1" s="1"/>
  <c r="M38" i="1" a="1"/>
  <c r="N38" i="1"/>
  <c r="O38" i="1" s="1"/>
  <c r="M39" i="1" a="1"/>
  <c r="N39" i="1"/>
  <c r="O39" i="1" s="1"/>
  <c r="M40" i="1" a="1"/>
  <c r="N40" i="1"/>
  <c r="O40" i="1" s="1"/>
  <c r="M41" i="1" a="1"/>
  <c r="N41" i="1"/>
  <c r="O41" i="1" s="1"/>
  <c r="M42" i="1" a="1"/>
  <c r="N42" i="1"/>
  <c r="O42" i="1" s="1"/>
  <c r="M43" i="1" a="1"/>
  <c r="N43" i="1"/>
  <c r="O43" i="1" s="1"/>
  <c r="M44" i="1" a="1"/>
  <c r="N44" i="1"/>
  <c r="O44" i="1" s="1"/>
  <c r="M45" i="1" a="1"/>
  <c r="N45" i="1"/>
  <c r="O45" i="1" s="1"/>
  <c r="M46" i="1" a="1"/>
  <c r="N46" i="1"/>
  <c r="O46" i="1" s="1"/>
  <c r="M47" i="1" a="1"/>
  <c r="N47" i="1"/>
  <c r="O47" i="1" s="1"/>
  <c r="M48" i="1" a="1"/>
  <c r="N48" i="1"/>
  <c r="O48" i="1" s="1"/>
  <c r="M49" i="1" a="1"/>
  <c r="N49" i="1"/>
  <c r="O49" i="1" s="1"/>
  <c r="M50" i="1" a="1"/>
  <c r="N50" i="1"/>
  <c r="O50" i="1" s="1"/>
  <c r="M51" i="1" a="1"/>
  <c r="N51" i="1"/>
  <c r="O51" i="1" s="1"/>
  <c r="M52" i="1" a="1"/>
  <c r="N52" i="1"/>
  <c r="O52" i="1" s="1"/>
  <c r="M53" i="1" a="1"/>
  <c r="N53" i="1"/>
  <c r="O53" i="1" s="1"/>
  <c r="M54" i="1" a="1"/>
  <c r="N54" i="1"/>
  <c r="O54" i="1" s="1"/>
  <c r="M55" i="1" a="1"/>
  <c r="N55" i="1"/>
  <c r="O55" i="1" s="1"/>
  <c r="M56" i="1" a="1"/>
  <c r="N56" i="1"/>
  <c r="O56" i="1" s="1"/>
  <c r="M57" i="1" a="1"/>
  <c r="N57" i="1"/>
  <c r="O57" i="1" s="1"/>
  <c r="M58" i="1" a="1"/>
  <c r="N58" i="1"/>
  <c r="O58" i="1" s="1"/>
  <c r="M59" i="1" a="1"/>
  <c r="N59" i="1"/>
  <c r="O59" i="1" s="1"/>
  <c r="M60" i="1" a="1"/>
  <c r="N60" i="1"/>
  <c r="O60" i="1" s="1"/>
  <c r="M61" i="1" a="1"/>
  <c r="N61" i="1"/>
  <c r="O61" i="1" s="1"/>
  <c r="M62" i="1" a="1"/>
  <c r="N62" i="1"/>
  <c r="O62" i="1" s="1"/>
  <c r="M63" i="1" a="1"/>
  <c r="N63" i="1"/>
  <c r="O63" i="1" s="1"/>
  <c r="M64" i="1" a="1"/>
  <c r="N64" i="1"/>
  <c r="O64" i="1" s="1"/>
  <c r="M65" i="1" a="1"/>
  <c r="N65" i="1"/>
  <c r="O65" i="1" s="1"/>
  <c r="M66" i="1" a="1"/>
  <c r="N66" i="1"/>
  <c r="O66" i="1" s="1"/>
  <c r="M67" i="1" a="1"/>
  <c r="N67" i="1"/>
  <c r="O67" i="1" s="1"/>
  <c r="M68" i="1" a="1"/>
  <c r="N68" i="1"/>
  <c r="O68" i="1" s="1"/>
  <c r="M69" i="1" a="1"/>
  <c r="N69" i="1"/>
  <c r="O69" i="1" s="1"/>
  <c r="M70" i="1" a="1"/>
  <c r="N70" i="1"/>
  <c r="O70" i="1" s="1"/>
  <c r="M71" i="1" a="1"/>
  <c r="N71" i="1"/>
  <c r="O71" i="1" s="1"/>
  <c r="M72" i="1" a="1"/>
  <c r="N72" i="1"/>
  <c r="O72" i="1" s="1"/>
  <c r="M73" i="1" a="1"/>
  <c r="N73" i="1"/>
  <c r="O73" i="1" s="1"/>
  <c r="M74" i="1" a="1"/>
  <c r="N74" i="1"/>
  <c r="O74" i="1" s="1"/>
  <c r="M75" i="1" a="1"/>
  <c r="N75" i="1"/>
  <c r="O75" i="1" s="1"/>
  <c r="M76" i="1" a="1"/>
  <c r="N76" i="1"/>
  <c r="O76" i="1" s="1"/>
  <c r="M77" i="1" a="1"/>
  <c r="N77" i="1"/>
  <c r="O77" i="1" s="1"/>
  <c r="M78" i="1" a="1"/>
  <c r="N78" i="1"/>
  <c r="O78" i="1" s="1"/>
  <c r="M79" i="1" a="1"/>
  <c r="N79" i="1"/>
  <c r="O79" i="1" s="1"/>
  <c r="M80" i="1" a="1"/>
  <c r="N80" i="1"/>
  <c r="O80" i="1" s="1"/>
  <c r="M81" i="1" a="1"/>
  <c r="N81" i="1"/>
  <c r="O81" i="1" s="1"/>
  <c r="M82" i="1" a="1"/>
  <c r="N82" i="1"/>
  <c r="O82" i="1" s="1"/>
  <c r="M83" i="1" a="1"/>
  <c r="N83" i="1"/>
  <c r="O83" i="1" s="1"/>
  <c r="M84" i="1" a="1"/>
  <c r="N84" i="1"/>
  <c r="O84" i="1" s="1"/>
  <c r="M85" i="1" a="1"/>
  <c r="N85" i="1"/>
  <c r="O85" i="1" s="1"/>
  <c r="M86" i="1" a="1"/>
  <c r="N86" i="1"/>
  <c r="O86" i="1" s="1"/>
  <c r="M87" i="1" a="1"/>
  <c r="N87" i="1"/>
  <c r="O87" i="1" s="1"/>
  <c r="N88" i="1"/>
  <c r="O88" i="1" s="1"/>
  <c r="M88" i="1" a="1"/>
  <c r="N89" i="1"/>
  <c r="O89" i="1" s="1"/>
  <c r="M89" i="1" a="1"/>
  <c r="N90" i="1"/>
  <c r="O90" i="1" s="1"/>
  <c r="M90" i="1" a="1"/>
  <c r="N91" i="1"/>
  <c r="O91" i="1" s="1"/>
  <c r="M91" i="1" a="1"/>
  <c r="N92" i="1"/>
  <c r="O92" i="1" s="1"/>
  <c r="M92" i="1" a="1"/>
  <c r="N93" i="1"/>
  <c r="O93" i="1" s="1"/>
  <c r="M93" i="1" a="1"/>
  <c r="N94" i="1"/>
  <c r="O94" i="1" s="1"/>
  <c r="M94" i="1" a="1"/>
  <c r="N95" i="1"/>
  <c r="O95" i="1" s="1"/>
  <c r="M95" i="1" a="1"/>
  <c r="N96" i="1"/>
  <c r="O96" i="1" s="1"/>
  <c r="M96" i="1" a="1"/>
  <c r="N97" i="1"/>
  <c r="O97" i="1" s="1"/>
  <c r="M97" i="1" a="1"/>
  <c r="N98" i="1"/>
  <c r="O98" i="1" s="1"/>
  <c r="M98" i="1" a="1"/>
  <c r="N99" i="1"/>
  <c r="O99" i="1" s="1"/>
  <c r="M99" i="1" a="1"/>
  <c r="N100" i="1"/>
  <c r="O100" i="1" s="1"/>
  <c r="M100" i="1" a="1"/>
  <c r="N101" i="1"/>
  <c r="O101" i="1" s="1"/>
  <c r="M101" i="1" a="1"/>
  <c r="N102" i="1"/>
  <c r="O102" i="1" s="1"/>
  <c r="M102" i="1" a="1"/>
  <c r="N103" i="1"/>
  <c r="O103" i="1" s="1"/>
  <c r="M103" i="1" a="1"/>
  <c r="N104" i="1"/>
  <c r="O104" i="1" s="1"/>
  <c r="M104" i="1" a="1"/>
  <c r="N105" i="1"/>
  <c r="O105" i="1" s="1"/>
  <c r="M105" i="1" a="1"/>
  <c r="N106" i="1"/>
  <c r="O106" i="1" s="1"/>
  <c r="M106" i="1" a="1"/>
  <c r="N107" i="1"/>
  <c r="O107" i="1" s="1"/>
  <c r="M107" i="1" a="1"/>
  <c r="N108" i="1"/>
  <c r="O108" i="1" s="1"/>
  <c r="M108" i="1" a="1"/>
  <c r="N109" i="1"/>
  <c r="O109" i="1" s="1"/>
  <c r="M109" i="1" a="1"/>
  <c r="N110" i="1"/>
  <c r="O110" i="1" s="1"/>
  <c r="M110" i="1" a="1"/>
  <c r="N111" i="1"/>
  <c r="O111" i="1" s="1"/>
  <c r="M111" i="1" a="1"/>
  <c r="N112" i="1"/>
  <c r="O112" i="1" s="1"/>
  <c r="M112" i="1" a="1"/>
  <c r="N113" i="1"/>
  <c r="O113" i="1" s="1"/>
  <c r="M113" i="1" a="1"/>
  <c r="N114" i="1"/>
  <c r="O114" i="1" s="1"/>
  <c r="M114" i="1" a="1"/>
  <c r="N115" i="1"/>
  <c r="O115" i="1" s="1"/>
  <c r="M115" i="1" a="1"/>
  <c r="N116" i="1"/>
  <c r="O116" i="1" s="1"/>
  <c r="M116" i="1" a="1"/>
  <c r="N117" i="1"/>
  <c r="O117" i="1" s="1"/>
  <c r="M117" i="1" a="1"/>
  <c r="N118" i="1"/>
  <c r="O118" i="1" s="1"/>
  <c r="M118" i="1" a="1"/>
  <c r="N119" i="1"/>
  <c r="O119" i="1" s="1"/>
  <c r="M119" i="1" a="1"/>
  <c r="N120" i="1"/>
  <c r="O120" i="1" s="1"/>
  <c r="M120" i="1" a="1"/>
  <c r="N121" i="1"/>
  <c r="O121" i="1" s="1"/>
  <c r="M121" i="1" a="1"/>
  <c r="N122" i="1"/>
  <c r="O122" i="1" s="1"/>
  <c r="M122" i="1" a="1"/>
  <c r="N123" i="1"/>
  <c r="O123" i="1" s="1"/>
  <c r="M123" i="1" a="1"/>
  <c r="N124" i="1"/>
  <c r="O124" i="1" s="1"/>
  <c r="M124" i="1" a="1"/>
  <c r="N125" i="1"/>
  <c r="O125" i="1" s="1"/>
  <c r="M125" i="1" a="1"/>
  <c r="N126" i="1"/>
  <c r="O126" i="1" s="1"/>
  <c r="M126" i="1" a="1"/>
  <c r="N127" i="1"/>
  <c r="O127" i="1" s="1"/>
  <c r="M127" i="1" a="1"/>
  <c r="N128" i="1"/>
  <c r="O128" i="1" s="1"/>
  <c r="M128" i="1" a="1"/>
  <c r="N129" i="1"/>
  <c r="O129" i="1" s="1"/>
  <c r="M129" i="1" a="1"/>
  <c r="N130" i="1"/>
  <c r="O130" i="1" s="1"/>
  <c r="M130" i="1" a="1"/>
  <c r="N131" i="1"/>
  <c r="O131" i="1" s="1"/>
  <c r="M131" i="1" a="1"/>
  <c r="N132" i="1"/>
  <c r="O132" i="1" s="1"/>
  <c r="M132" i="1" a="1"/>
  <c r="N133" i="1"/>
  <c r="O133" i="1" s="1"/>
  <c r="M133" i="1" a="1"/>
  <c r="M134" i="1" a="1"/>
  <c r="N134" i="1"/>
  <c r="O134" i="1" s="1"/>
  <c r="N135" i="1"/>
  <c r="O135" i="1" s="1"/>
  <c r="M135" i="1" a="1"/>
  <c r="N136" i="1"/>
  <c r="O136" i="1" s="1"/>
  <c r="M136" i="1" a="1"/>
  <c r="N137" i="1"/>
  <c r="O137" i="1" s="1"/>
  <c r="M137" i="1" a="1"/>
  <c r="N138" i="1"/>
  <c r="O138" i="1" s="1"/>
  <c r="M138" i="1" a="1"/>
  <c r="N139" i="1"/>
  <c r="O139" i="1" s="1"/>
  <c r="M139" i="1" a="1"/>
  <c r="N140" i="1"/>
  <c r="O140" i="1" s="1"/>
  <c r="M140" i="1" a="1"/>
  <c r="N141" i="1"/>
  <c r="O141" i="1" s="1"/>
  <c r="M141" i="1" a="1"/>
  <c r="N142" i="1"/>
  <c r="O142" i="1" s="1"/>
  <c r="M142" i="1" a="1"/>
  <c r="M143" i="1" a="1"/>
  <c r="N143" i="1"/>
  <c r="O143" i="1" s="1"/>
  <c r="N144" i="1"/>
  <c r="O144" i="1" s="1"/>
  <c r="M144" i="1" a="1"/>
  <c r="N145" i="1"/>
  <c r="O145" i="1" s="1"/>
  <c r="M145" i="1" a="1"/>
  <c r="M146" i="1" a="1"/>
  <c r="N146" i="1"/>
  <c r="O146" i="1" s="1"/>
  <c r="M147" i="1" a="1"/>
  <c r="N147" i="1"/>
  <c r="O147" i="1" s="1"/>
  <c r="M148" i="1" a="1"/>
  <c r="N148" i="1"/>
  <c r="O148" i="1" s="1"/>
  <c r="M149" i="1" a="1"/>
  <c r="N149" i="1"/>
  <c r="O149" i="1" s="1"/>
  <c r="M150" i="1" a="1"/>
  <c r="N150" i="1"/>
  <c r="O150" i="1" s="1"/>
  <c r="M151" i="1" a="1"/>
  <c r="N151" i="1"/>
  <c r="O151" i="1" s="1"/>
  <c r="M152" i="1" a="1"/>
  <c r="N152" i="1"/>
  <c r="O152" i="1" s="1"/>
  <c r="M153" i="1" a="1"/>
  <c r="N153" i="1"/>
  <c r="O153" i="1" s="1"/>
  <c r="M154" i="1" a="1"/>
  <c r="N154" i="1"/>
  <c r="O154" i="1" s="1"/>
  <c r="M155" i="1" a="1"/>
  <c r="N155" i="1"/>
  <c r="O155" i="1" s="1"/>
  <c r="M156" i="1" a="1"/>
  <c r="N156" i="1"/>
  <c r="O156" i="1" s="1"/>
  <c r="M157" i="1" a="1"/>
  <c r="N157" i="1"/>
  <c r="O157" i="1" s="1"/>
  <c r="M158" i="1" a="1"/>
  <c r="N158" i="1"/>
  <c r="O158" i="1" s="1"/>
  <c r="M159" i="1" a="1"/>
  <c r="N159" i="1"/>
  <c r="O159" i="1" s="1"/>
  <c r="M160" i="1" a="1"/>
  <c r="N160" i="1"/>
  <c r="O160" i="1" s="1"/>
  <c r="M161" i="1" a="1"/>
  <c r="N161" i="1"/>
  <c r="O161" i="1" s="1"/>
  <c r="M162" i="1" a="1"/>
  <c r="N162" i="1"/>
  <c r="O162" i="1" s="1"/>
  <c r="M163" i="1" a="1"/>
  <c r="N163" i="1"/>
  <c r="O163" i="1" s="1"/>
  <c r="M164" i="1" a="1"/>
  <c r="N164" i="1"/>
  <c r="O164" i="1" s="1"/>
  <c r="M165" i="1" a="1"/>
  <c r="N165" i="1"/>
  <c r="O165" i="1" s="1"/>
  <c r="M166" i="1" a="1"/>
  <c r="N166" i="1"/>
  <c r="O166" i="1" s="1"/>
  <c r="M167" i="1" a="1"/>
  <c r="N167" i="1"/>
  <c r="O167" i="1" s="1"/>
  <c r="M168" i="1" a="1"/>
  <c r="N168" i="1"/>
  <c r="O168" i="1" s="1"/>
  <c r="M169" i="1" a="1"/>
  <c r="N169" i="1"/>
  <c r="O169" i="1" s="1"/>
  <c r="M170" i="1" a="1"/>
  <c r="N170" i="1"/>
  <c r="O170" i="1" s="1"/>
  <c r="M171" i="1" a="1"/>
  <c r="N171" i="1"/>
  <c r="O171" i="1" s="1"/>
  <c r="M172" i="1" a="1"/>
  <c r="N172" i="1"/>
  <c r="O172" i="1" s="1"/>
  <c r="M173" i="1" a="1"/>
  <c r="N173" i="1"/>
  <c r="O173" i="1" s="1"/>
  <c r="M174" i="1" a="1"/>
  <c r="N174" i="1"/>
  <c r="O174" i="1" s="1"/>
  <c r="M175" i="1" a="1"/>
  <c r="N175" i="1"/>
  <c r="O175" i="1" s="1"/>
  <c r="M176" i="1" a="1"/>
  <c r="N176" i="1"/>
  <c r="O176" i="1" s="1"/>
  <c r="M177" i="1" a="1"/>
  <c r="N177" i="1"/>
  <c r="O177" i="1" s="1"/>
  <c r="M178" i="1" a="1"/>
  <c r="N178" i="1"/>
  <c r="O178" i="1" s="1"/>
  <c r="M179" i="1" a="1"/>
  <c r="N179" i="1"/>
  <c r="O179" i="1" s="1"/>
  <c r="M180" i="1" a="1"/>
  <c r="N180" i="1"/>
  <c r="O180" i="1" s="1"/>
  <c r="M181" i="1" a="1"/>
  <c r="N181" i="1"/>
  <c r="O181" i="1" s="1"/>
  <c r="M182" i="1" a="1"/>
  <c r="N182" i="1"/>
  <c r="O182" i="1" s="1"/>
  <c r="M183" i="1" a="1"/>
  <c r="N183" i="1"/>
  <c r="O183" i="1" s="1"/>
  <c r="M184" i="1" a="1"/>
  <c r="N184" i="1"/>
  <c r="O184" i="1" s="1"/>
  <c r="M185" i="1" a="1"/>
  <c r="N185" i="1"/>
  <c r="O185" i="1" s="1"/>
  <c r="M186" i="1" a="1"/>
  <c r="N186" i="1"/>
  <c r="O186" i="1" s="1"/>
  <c r="M187" i="1" a="1"/>
  <c r="N187" i="1"/>
  <c r="O187" i="1" s="1"/>
  <c r="M188" i="1" a="1"/>
  <c r="N188" i="1"/>
  <c r="O188" i="1" s="1"/>
  <c r="M189" i="1" a="1"/>
  <c r="N189" i="1"/>
  <c r="O189" i="1" s="1"/>
  <c r="M190" i="1" a="1"/>
  <c r="N190" i="1"/>
  <c r="O190" i="1" s="1"/>
  <c r="M191" i="1" a="1"/>
  <c r="N191" i="1"/>
  <c r="O191" i="1" s="1"/>
  <c r="M192" i="1" a="1"/>
  <c r="N192" i="1"/>
  <c r="O192" i="1" s="1"/>
  <c r="M193" i="1" a="1"/>
  <c r="N193" i="1"/>
  <c r="O193" i="1" s="1"/>
  <c r="M194" i="1" a="1"/>
  <c r="N194" i="1"/>
  <c r="O194" i="1" s="1"/>
  <c r="M195" i="1" a="1"/>
  <c r="N195" i="1"/>
  <c r="O195" i="1" s="1"/>
  <c r="M196" i="1" a="1"/>
  <c r="N196" i="1"/>
  <c r="O196" i="1" s="1"/>
  <c r="M197" i="1" a="1"/>
  <c r="N197" i="1"/>
  <c r="O197" i="1" s="1"/>
  <c r="M198" i="1" a="1"/>
  <c r="N198" i="1"/>
  <c r="O198" i="1" s="1"/>
  <c r="M199" i="1" a="1"/>
  <c r="N199" i="1"/>
  <c r="O199" i="1" s="1"/>
  <c r="M200" i="1" a="1"/>
  <c r="N200" i="1"/>
  <c r="O200" i="1" s="1"/>
  <c r="M201" i="1" a="1"/>
  <c r="N201" i="1"/>
  <c r="O201" i="1" s="1"/>
  <c r="M2" i="1" a="1"/>
  <c r="N2" i="1"/>
  <c r="O2" i="1" s="1"/>
  <c r="M71" i="4" a="1"/>
  <c r="N71" i="4"/>
  <c r="O71" i="4" s="1"/>
  <c r="M70" i="4" a="1"/>
  <c r="N70" i="4"/>
  <c r="O70" i="4" s="1"/>
  <c r="M69" i="4" a="1"/>
  <c r="N69" i="4"/>
  <c r="O69" i="4" s="1"/>
  <c r="M68" i="4" a="1"/>
  <c r="N68" i="4"/>
  <c r="O68" i="4" s="1"/>
  <c r="M67" i="4" a="1"/>
  <c r="N67" i="4"/>
  <c r="O67" i="4" s="1"/>
  <c r="M66" i="4" a="1"/>
  <c r="N66" i="4"/>
  <c r="O66" i="4" s="1"/>
  <c r="M65" i="4" a="1"/>
  <c r="N65" i="4"/>
  <c r="O65" i="4" s="1"/>
  <c r="M64" i="4" a="1"/>
  <c r="N64" i="4"/>
  <c r="O64" i="4" s="1"/>
  <c r="M63" i="4" a="1"/>
  <c r="N63" i="4"/>
  <c r="O63" i="4" s="1"/>
  <c r="M62" i="4" a="1"/>
  <c r="N62" i="4"/>
  <c r="O62" i="4" s="1"/>
  <c r="M61" i="4" a="1"/>
  <c r="N61" i="4"/>
  <c r="O61" i="4" s="1"/>
  <c r="M60" i="4" a="1"/>
  <c r="N60" i="4"/>
  <c r="O60" i="4" s="1"/>
  <c r="M59" i="4" a="1"/>
  <c r="N59" i="4"/>
  <c r="O59" i="4" s="1"/>
  <c r="M58" i="4" a="1"/>
  <c r="N58" i="4"/>
  <c r="O58" i="4" s="1"/>
  <c r="M57" i="4" a="1"/>
  <c r="N57" i="4"/>
  <c r="O57" i="4" s="1"/>
  <c r="M56" i="4" a="1"/>
  <c r="N56" i="4"/>
  <c r="O56" i="4" s="1"/>
  <c r="M55" i="4" a="1"/>
  <c r="N55" i="4"/>
  <c r="O55" i="4" s="1"/>
  <c r="M54" i="4" a="1"/>
  <c r="N54" i="4"/>
  <c r="O54" i="4" s="1"/>
  <c r="M53" i="4" a="1"/>
  <c r="N53" i="4"/>
  <c r="O53" i="4" s="1"/>
  <c r="M52" i="4" a="1"/>
  <c r="N52" i="4"/>
  <c r="O52" i="4" s="1"/>
  <c r="M51" i="4" a="1"/>
  <c r="N51" i="4"/>
  <c r="O51" i="4" s="1"/>
  <c r="M50" i="4" a="1"/>
  <c r="N50" i="4"/>
  <c r="O50" i="4" s="1"/>
  <c r="M49" i="4" a="1"/>
  <c r="N49" i="4"/>
  <c r="O49" i="4" s="1"/>
  <c r="M48" i="4" a="1"/>
  <c r="N48" i="4"/>
  <c r="O48" i="4" s="1"/>
  <c r="M47" i="4" a="1"/>
  <c r="N47" i="4"/>
  <c r="O47" i="4" s="1"/>
  <c r="M46" i="4" a="1"/>
  <c r="N46" i="4"/>
  <c r="O46" i="4" s="1"/>
  <c r="M45" i="4" a="1"/>
  <c r="N45" i="4"/>
  <c r="O45" i="4" s="1"/>
  <c r="M44" i="4" a="1"/>
  <c r="N44" i="4"/>
  <c r="O44" i="4" s="1"/>
  <c r="M43" i="4" a="1"/>
  <c r="N43" i="4"/>
  <c r="O43" i="4" s="1"/>
  <c r="M42" i="4" a="1"/>
  <c r="N42" i="4"/>
  <c r="O42" i="4" s="1"/>
  <c r="M41" i="4" a="1"/>
  <c r="N41" i="4"/>
  <c r="O41" i="4" s="1"/>
  <c r="M40" i="4" a="1"/>
  <c r="N40" i="4"/>
  <c r="O40" i="4" s="1"/>
  <c r="M39" i="4" a="1"/>
  <c r="N39" i="4"/>
  <c r="O39" i="4" s="1"/>
  <c r="M38" i="4" a="1"/>
  <c r="N38" i="4"/>
  <c r="O38" i="4" s="1"/>
  <c r="M37" i="4" a="1"/>
  <c r="N37" i="4"/>
  <c r="O37" i="4" s="1"/>
  <c r="M36" i="4" a="1"/>
  <c r="N36" i="4"/>
  <c r="O36" i="4" s="1"/>
  <c r="M35" i="4" a="1"/>
  <c r="N35" i="4"/>
  <c r="O35" i="4" s="1"/>
  <c r="M34" i="4" a="1"/>
  <c r="N34" i="4"/>
  <c r="O34" i="4" s="1"/>
  <c r="M33" i="4" a="1"/>
  <c r="N33" i="4"/>
  <c r="O33" i="4" s="1"/>
  <c r="M32" i="4" a="1"/>
  <c r="N32" i="4"/>
  <c r="O32" i="4" s="1"/>
  <c r="M31" i="4" a="1"/>
  <c r="N31" i="4"/>
  <c r="O31" i="4" s="1"/>
  <c r="M30" i="4" a="1"/>
  <c r="N30" i="4"/>
  <c r="O30" i="4" s="1"/>
  <c r="M29" i="4" a="1"/>
  <c r="N29" i="4"/>
  <c r="O29" i="4" s="1"/>
  <c r="M28" i="4" a="1"/>
  <c r="N28" i="4"/>
  <c r="O28" i="4" s="1"/>
  <c r="M27" i="4" a="1"/>
  <c r="N27" i="4"/>
  <c r="O27" i="4" s="1"/>
  <c r="M24" i="4" a="1"/>
  <c r="N24" i="4"/>
  <c r="O24" i="4" s="1"/>
  <c r="M10" i="4" a="1"/>
  <c r="N10" i="4"/>
  <c r="O10" i="4" s="1"/>
  <c r="M9" i="4" a="1"/>
  <c r="N9" i="4"/>
  <c r="O9" i="4" s="1"/>
  <c r="M8" i="4" a="1"/>
  <c r="N8" i="4"/>
  <c r="O8" i="4" s="1"/>
  <c r="M7" i="4" a="1"/>
  <c r="N7" i="4"/>
  <c r="O7" i="4" s="1"/>
  <c r="M6" i="4" a="1"/>
  <c r="N6" i="4"/>
  <c r="O6" i="4" s="1"/>
  <c r="M5" i="4" a="1"/>
  <c r="N5" i="4"/>
  <c r="O5" i="4" s="1"/>
  <c r="M4" i="4" a="1"/>
  <c r="N4" i="4"/>
  <c r="O4" i="4" s="1"/>
  <c r="M201" i="4" a="1"/>
  <c r="N201" i="4"/>
  <c r="O201" i="4" s="1"/>
  <c r="M200" i="4" a="1"/>
  <c r="N200" i="4"/>
  <c r="O200" i="4" s="1"/>
  <c r="M199" i="4" a="1"/>
  <c r="N199" i="4"/>
  <c r="O199" i="4" s="1"/>
  <c r="M198" i="4" a="1"/>
  <c r="N198" i="4"/>
  <c r="O198" i="4" s="1"/>
  <c r="M197" i="4" a="1"/>
  <c r="N197" i="4"/>
  <c r="O197" i="4" s="1"/>
  <c r="M196" i="4" a="1"/>
  <c r="N196" i="4"/>
  <c r="O196" i="4" s="1"/>
  <c r="M195" i="4" a="1"/>
  <c r="N195" i="4"/>
  <c r="O195" i="4" s="1"/>
  <c r="M194" i="4" a="1"/>
  <c r="N194" i="4"/>
  <c r="O194" i="4" s="1"/>
  <c r="M193" i="4" a="1"/>
  <c r="N193" i="4"/>
  <c r="O193" i="4" s="1"/>
  <c r="M192" i="4" a="1"/>
  <c r="N192" i="4"/>
  <c r="O192" i="4" s="1"/>
  <c r="M191" i="4" a="1"/>
  <c r="N191" i="4"/>
  <c r="O191" i="4" s="1"/>
  <c r="M190" i="4" a="1"/>
  <c r="N190" i="4"/>
  <c r="O190" i="4" s="1"/>
  <c r="M189" i="4" a="1"/>
  <c r="N189" i="4"/>
  <c r="O189" i="4" s="1"/>
  <c r="M188" i="4" a="1"/>
  <c r="N188" i="4"/>
  <c r="O188" i="4" s="1"/>
  <c r="M187" i="4" a="1"/>
  <c r="N187" i="4"/>
  <c r="O187" i="4" s="1"/>
  <c r="M186" i="4" a="1"/>
  <c r="N186" i="4"/>
  <c r="O186" i="4" s="1"/>
  <c r="M185" i="4" a="1"/>
  <c r="N185" i="4"/>
  <c r="O185" i="4" s="1"/>
  <c r="M184" i="4" a="1"/>
  <c r="N184" i="4"/>
  <c r="O184" i="4" s="1"/>
  <c r="M183" i="4" a="1"/>
  <c r="N183" i="4"/>
  <c r="O183" i="4" s="1"/>
  <c r="M182" i="4" a="1"/>
  <c r="N182" i="4"/>
  <c r="O182" i="4" s="1"/>
  <c r="M181" i="4" a="1"/>
  <c r="N181" i="4"/>
  <c r="O181" i="4" s="1"/>
  <c r="M180" i="4" a="1"/>
  <c r="N180" i="4"/>
  <c r="O180" i="4" s="1"/>
  <c r="M179" i="4" a="1"/>
  <c r="N179" i="4"/>
  <c r="O179" i="4" s="1"/>
  <c r="M178" i="4" a="1"/>
  <c r="N178" i="4"/>
  <c r="O178" i="4" s="1"/>
  <c r="M177" i="4" a="1"/>
  <c r="N177" i="4"/>
  <c r="O177" i="4" s="1"/>
  <c r="M176" i="4" a="1"/>
  <c r="N176" i="4"/>
  <c r="O176" i="4" s="1"/>
  <c r="M175" i="4" a="1"/>
  <c r="N175" i="4"/>
  <c r="O175" i="4" s="1"/>
  <c r="M174" i="4" a="1"/>
  <c r="N174" i="4"/>
  <c r="O174" i="4" s="1"/>
  <c r="M173" i="4" a="1"/>
  <c r="N173" i="4"/>
  <c r="O173" i="4" s="1"/>
  <c r="M172" i="4" a="1"/>
  <c r="N172" i="4"/>
  <c r="O172" i="4" s="1"/>
  <c r="M171" i="4" a="1"/>
  <c r="N171" i="4"/>
  <c r="O171" i="4" s="1"/>
  <c r="M170" i="4" a="1"/>
  <c r="N170" i="4"/>
  <c r="O170" i="4" s="1"/>
  <c r="M169" i="4" a="1"/>
  <c r="N169" i="4"/>
  <c r="O169" i="4" s="1"/>
  <c r="M168" i="4" a="1"/>
  <c r="N168" i="4"/>
  <c r="O168" i="4" s="1"/>
  <c r="M167" i="4" a="1"/>
  <c r="N167" i="4"/>
  <c r="O167" i="4" s="1"/>
  <c r="M166" i="4" a="1"/>
  <c r="N166" i="4"/>
  <c r="O166" i="4" s="1"/>
  <c r="M165" i="4" a="1"/>
  <c r="N165" i="4"/>
  <c r="O165" i="4" s="1"/>
  <c r="M164" i="4" a="1"/>
  <c r="N164" i="4"/>
  <c r="O164" i="4" s="1"/>
  <c r="M163" i="4" a="1"/>
  <c r="N163" i="4"/>
  <c r="O163" i="4" s="1"/>
  <c r="M162" i="4" a="1"/>
  <c r="N162" i="4"/>
  <c r="O162" i="4" s="1"/>
  <c r="M161" i="4" a="1"/>
  <c r="N161" i="4"/>
  <c r="O161" i="4" s="1"/>
  <c r="M160" i="4" a="1"/>
  <c r="N160" i="4"/>
  <c r="O160" i="4" s="1"/>
  <c r="M159" i="4" a="1"/>
  <c r="N159" i="4"/>
  <c r="O159" i="4" s="1"/>
  <c r="M158" i="4" a="1"/>
  <c r="N158" i="4"/>
  <c r="O158" i="4" s="1"/>
  <c r="M157" i="4" a="1"/>
  <c r="N157" i="4"/>
  <c r="O157" i="4" s="1"/>
  <c r="M156" i="4" a="1"/>
  <c r="N156" i="4"/>
  <c r="O156" i="4" s="1"/>
  <c r="M155" i="4" a="1"/>
  <c r="N155" i="4"/>
  <c r="O155" i="4" s="1"/>
  <c r="M154" i="4" a="1"/>
  <c r="N154" i="4"/>
  <c r="O154" i="4" s="1"/>
  <c r="M153" i="4" a="1"/>
  <c r="N153" i="4"/>
  <c r="O153" i="4" s="1"/>
  <c r="M152" i="4" a="1"/>
  <c r="N152" i="4"/>
  <c r="O152" i="4" s="1"/>
  <c r="M151" i="4" a="1"/>
  <c r="N151" i="4"/>
  <c r="O151" i="4" s="1"/>
  <c r="M150" i="4" a="1"/>
  <c r="N150" i="4"/>
  <c r="O150" i="4" s="1"/>
  <c r="M149" i="4" a="1"/>
  <c r="N149" i="4"/>
  <c r="O149" i="4" s="1"/>
  <c r="M148" i="4" a="1"/>
  <c r="N148" i="4"/>
  <c r="O148" i="4" s="1"/>
  <c r="M147" i="4" a="1"/>
  <c r="N147" i="4"/>
  <c r="O147" i="4" s="1"/>
  <c r="M146" i="4" a="1"/>
  <c r="N146" i="4"/>
  <c r="O146" i="4" s="1"/>
  <c r="M145" i="4" a="1"/>
  <c r="N145" i="4"/>
  <c r="O145" i="4" s="1"/>
  <c r="M144" i="4" a="1"/>
  <c r="N144" i="4"/>
  <c r="O144" i="4" s="1"/>
  <c r="M143" i="4" a="1"/>
  <c r="N143" i="4"/>
  <c r="O143" i="4" s="1"/>
  <c r="M142" i="4" a="1"/>
  <c r="N142" i="4"/>
  <c r="O142" i="4" s="1"/>
  <c r="M141" i="4" a="1"/>
  <c r="N141" i="4"/>
  <c r="O141" i="4" s="1"/>
  <c r="M140" i="4" a="1"/>
  <c r="N140" i="4"/>
  <c r="O140" i="4" s="1"/>
  <c r="M139" i="4" a="1"/>
  <c r="N139" i="4"/>
  <c r="O139" i="4" s="1"/>
  <c r="M138" i="4" a="1"/>
  <c r="N138" i="4"/>
  <c r="O138" i="4" s="1"/>
  <c r="M137" i="4" a="1"/>
  <c r="N137" i="4"/>
  <c r="O137" i="4" s="1"/>
  <c r="M136" i="4" a="1"/>
  <c r="N136" i="4"/>
  <c r="O136" i="4" s="1"/>
  <c r="M135" i="4" a="1"/>
  <c r="N135" i="4"/>
  <c r="O135" i="4" s="1"/>
  <c r="M134" i="4" a="1"/>
  <c r="N134" i="4"/>
  <c r="O134" i="4" s="1"/>
  <c r="M133" i="4" a="1"/>
  <c r="N133" i="4"/>
  <c r="O133" i="4" s="1"/>
  <c r="M132" i="4" a="1"/>
  <c r="N132" i="4"/>
  <c r="O132" i="4" s="1"/>
  <c r="M131" i="4" a="1"/>
  <c r="N131" i="4"/>
  <c r="O131" i="4" s="1"/>
  <c r="M130" i="4" a="1"/>
  <c r="N130" i="4"/>
  <c r="O130" i="4" s="1"/>
  <c r="M129" i="4" a="1"/>
  <c r="N129" i="4"/>
  <c r="O129" i="4" s="1"/>
  <c r="M128" i="4" a="1"/>
  <c r="N128" i="4"/>
  <c r="O128" i="4" s="1"/>
  <c r="M127" i="4" a="1"/>
  <c r="N127" i="4"/>
  <c r="O127" i="4" s="1"/>
  <c r="M126" i="4" a="1"/>
  <c r="N126" i="4"/>
  <c r="O126" i="4" s="1"/>
  <c r="M125" i="4" a="1"/>
  <c r="N125" i="4"/>
  <c r="O125" i="4" s="1"/>
  <c r="M124" i="4" a="1"/>
  <c r="N124" i="4"/>
  <c r="O124" i="4" s="1"/>
  <c r="M123" i="4" a="1"/>
  <c r="N123" i="4"/>
  <c r="O123" i="4" s="1"/>
  <c r="M122" i="4" a="1"/>
  <c r="N122" i="4"/>
  <c r="O122" i="4" s="1"/>
  <c r="M121" i="4" a="1"/>
  <c r="N121" i="4"/>
  <c r="O121" i="4" s="1"/>
  <c r="M120" i="4" a="1"/>
  <c r="N120" i="4"/>
  <c r="O120" i="4" s="1"/>
  <c r="M119" i="4" a="1"/>
  <c r="N119" i="4"/>
  <c r="O119" i="4" s="1"/>
  <c r="M118" i="4" a="1"/>
  <c r="N118" i="4"/>
  <c r="O118" i="4" s="1"/>
  <c r="M117" i="4" a="1"/>
  <c r="N117" i="4"/>
  <c r="O117" i="4" s="1"/>
  <c r="M116" i="4" a="1"/>
  <c r="N116" i="4"/>
  <c r="O116" i="4" s="1"/>
  <c r="M115" i="4" a="1"/>
  <c r="N115" i="4"/>
  <c r="O115" i="4" s="1"/>
  <c r="M114" i="4" a="1"/>
  <c r="N114" i="4"/>
  <c r="O114" i="4" s="1"/>
  <c r="M113" i="4" a="1"/>
  <c r="N113" i="4"/>
  <c r="O113" i="4" s="1"/>
  <c r="M112" i="4" a="1"/>
  <c r="N112" i="4"/>
  <c r="O112" i="4" s="1"/>
  <c r="M111" i="4" a="1"/>
  <c r="N111" i="4"/>
  <c r="O111" i="4" s="1"/>
  <c r="M110" i="4" a="1"/>
  <c r="N110" i="4"/>
  <c r="O110" i="4" s="1"/>
  <c r="M109" i="4" a="1"/>
  <c r="N109" i="4"/>
  <c r="O109" i="4" s="1"/>
  <c r="M108" i="4" a="1"/>
  <c r="N108" i="4"/>
  <c r="O108" i="4" s="1"/>
  <c r="M107" i="4" a="1"/>
  <c r="N107" i="4"/>
  <c r="O107" i="4" s="1"/>
  <c r="M106" i="4" a="1"/>
  <c r="N106" i="4"/>
  <c r="O106" i="4" s="1"/>
  <c r="M105" i="4" a="1"/>
  <c r="N105" i="4"/>
  <c r="O105" i="4" s="1"/>
  <c r="M104" i="4" a="1"/>
  <c r="N104" i="4"/>
  <c r="O104" i="4" s="1"/>
  <c r="M103" i="4" a="1"/>
  <c r="N103" i="4"/>
  <c r="O103" i="4" s="1"/>
  <c r="M102" i="4" a="1"/>
  <c r="N102" i="4"/>
  <c r="O102" i="4" s="1"/>
  <c r="M101" i="4" a="1"/>
  <c r="N101" i="4"/>
  <c r="O101" i="4" s="1"/>
  <c r="M100" i="4" a="1"/>
  <c r="N100" i="4"/>
  <c r="O100" i="4" s="1"/>
  <c r="M99" i="4" a="1"/>
  <c r="N99" i="4"/>
  <c r="O99" i="4" s="1"/>
  <c r="M98" i="4" a="1"/>
  <c r="N98" i="4"/>
  <c r="O98" i="4" s="1"/>
  <c r="M97" i="4" a="1"/>
  <c r="N97" i="4"/>
  <c r="O97" i="4" s="1"/>
  <c r="M96" i="4" a="1"/>
  <c r="N96" i="4"/>
  <c r="O96" i="4" s="1"/>
  <c r="M95" i="4" a="1"/>
  <c r="N95" i="4"/>
  <c r="O95" i="4" s="1"/>
  <c r="M94" i="4" a="1"/>
  <c r="N94" i="4"/>
  <c r="O94" i="4" s="1"/>
  <c r="M93" i="4" a="1"/>
  <c r="N93" i="4"/>
  <c r="O93" i="4" s="1"/>
  <c r="M92" i="4" a="1"/>
  <c r="N92" i="4"/>
  <c r="O92" i="4" s="1"/>
  <c r="M91" i="4" a="1"/>
  <c r="N91" i="4"/>
  <c r="O91" i="4" s="1"/>
  <c r="M90" i="4" a="1"/>
  <c r="N90" i="4"/>
  <c r="O90" i="4" s="1"/>
  <c r="M89" i="4" a="1"/>
  <c r="N89" i="4"/>
  <c r="O89" i="4" s="1"/>
  <c r="M88" i="4" a="1"/>
  <c r="N88" i="4"/>
  <c r="O88" i="4" s="1"/>
  <c r="M87" i="4" a="1"/>
  <c r="N87" i="4"/>
  <c r="O87" i="4" s="1"/>
  <c r="M86" i="4" a="1"/>
  <c r="N86" i="4"/>
  <c r="O86" i="4" s="1"/>
  <c r="M85" i="4" a="1"/>
  <c r="N85" i="4"/>
  <c r="O85" i="4" s="1"/>
  <c r="M84" i="4" a="1"/>
  <c r="N84" i="4"/>
  <c r="O84" i="4" s="1"/>
  <c r="M83" i="4" a="1"/>
  <c r="N83" i="4"/>
  <c r="O83" i="4" s="1"/>
  <c r="M82" i="4" a="1"/>
  <c r="N82" i="4"/>
  <c r="O82" i="4" s="1"/>
  <c r="M81" i="4" a="1"/>
  <c r="N81" i="4"/>
  <c r="O81" i="4" s="1"/>
  <c r="M80" i="4" a="1"/>
  <c r="N80" i="4"/>
  <c r="O80" i="4" s="1"/>
  <c r="M79" i="4" a="1"/>
  <c r="N79" i="4"/>
  <c r="O79" i="4" s="1"/>
  <c r="M78" i="4" a="1"/>
  <c r="N78" i="4"/>
  <c r="O78" i="4" s="1"/>
  <c r="M77" i="4" a="1"/>
  <c r="N77" i="4"/>
  <c r="O77" i="4" s="1"/>
  <c r="M76" i="4" a="1"/>
  <c r="N76" i="4"/>
  <c r="O76" i="4" s="1"/>
  <c r="M75" i="4" a="1"/>
  <c r="N75" i="4"/>
  <c r="O75" i="4" s="1"/>
  <c r="M74" i="4" a="1"/>
  <c r="N74" i="4"/>
  <c r="O74" i="4" s="1"/>
  <c r="M73" i="4" a="1"/>
  <c r="N73" i="4"/>
  <c r="O73" i="4" s="1"/>
  <c r="M72" i="4" a="1"/>
  <c r="N72" i="4"/>
  <c r="O72" i="4" s="1"/>
  <c r="M26" i="4" a="1"/>
  <c r="N26" i="4"/>
  <c r="O26" i="4" s="1"/>
  <c r="M25" i="4" a="1"/>
  <c r="N25" i="4"/>
  <c r="O25" i="4" s="1"/>
  <c r="M23" i="4" a="1"/>
  <c r="N23" i="4"/>
  <c r="O23" i="4" s="1"/>
  <c r="M22" i="4" a="1"/>
  <c r="N22" i="4"/>
  <c r="O22" i="4" s="1"/>
  <c r="M21" i="4" a="1"/>
  <c r="N21" i="4"/>
  <c r="O21" i="4" s="1"/>
  <c r="M20" i="4" a="1"/>
  <c r="N20" i="4"/>
  <c r="O20" i="4" s="1"/>
  <c r="M19" i="4" a="1"/>
  <c r="N19" i="4"/>
  <c r="O19" i="4" s="1"/>
  <c r="M18" i="4" a="1"/>
  <c r="N18" i="4"/>
  <c r="O18" i="4" s="1"/>
  <c r="M17" i="4" a="1"/>
  <c r="N17" i="4"/>
  <c r="O17" i="4" s="1"/>
  <c r="N16" i="4"/>
  <c r="O16" i="4" s="1"/>
  <c r="M16" i="4" a="1"/>
  <c r="M15" i="4" a="1"/>
  <c r="N15" i="4"/>
  <c r="O15" i="4" s="1"/>
  <c r="M14" i="4" a="1"/>
  <c r="N14" i="4"/>
  <c r="O14" i="4" s="1"/>
  <c r="M13" i="4" a="1"/>
  <c r="N13" i="4"/>
  <c r="O13" i="4" s="1"/>
  <c r="M12" i="4" a="1"/>
  <c r="N12" i="4"/>
  <c r="O12" i="4" s="1"/>
  <c r="M11" i="4" a="1"/>
  <c r="N11" i="4"/>
  <c r="O11" i="4" s="1"/>
  <c r="M3" i="4" a="1"/>
  <c r="N3" i="4"/>
  <c r="O3" i="4" s="1"/>
  <c r="M2" i="4" a="1"/>
  <c r="N2" i="4"/>
  <c r="O2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<sst xmlns="http://schemas.openxmlformats.org/spreadsheetml/2006/main" count="1818" uniqueCount="289">
  <si>
    <t>OrderID</t>
  </si>
  <si>
    <t>OrderDate</t>
  </si>
  <si>
    <t>Channel</t>
  </si>
  <si>
    <t>Region</t>
  </si>
  <si>
    <t>Country</t>
  </si>
  <si>
    <t>SalespersonID</t>
  </si>
  <si>
    <t>Salesperson</t>
  </si>
  <si>
    <t>ProductID</t>
  </si>
  <si>
    <t>Product</t>
  </si>
  <si>
    <t>Category</t>
  </si>
  <si>
    <t>Quantity</t>
  </si>
  <si>
    <t>UnitPrice</t>
  </si>
  <si>
    <t>UnitCost</t>
  </si>
  <si>
    <t>ORD-10001</t>
  </si>
  <si>
    <t>Partner</t>
  </si>
  <si>
    <t>EMEA</t>
  </si>
  <si>
    <t>Portugal</t>
  </si>
  <si>
    <t>S-02</t>
  </si>
  <si>
    <t>Bruno Costa</t>
  </si>
  <si>
    <t>P-101</t>
  </si>
  <si>
    <t>Wireless Mouse</t>
  </si>
  <si>
    <t>Accessories</t>
  </si>
  <si>
    <t>ORD-10002</t>
  </si>
  <si>
    <t>Online</t>
  </si>
  <si>
    <t>APAC</t>
  </si>
  <si>
    <t>Singapore</t>
  </si>
  <si>
    <t>S-03</t>
  </si>
  <si>
    <t>Chen Wei</t>
  </si>
  <si>
    <t>P-402</t>
  </si>
  <si>
    <t>Desk Speakers</t>
  </si>
  <si>
    <t>Audio</t>
  </si>
  <si>
    <t>ORD-10003</t>
  </si>
  <si>
    <t>Kenya</t>
  </si>
  <si>
    <t>S-07</t>
  </si>
  <si>
    <t>Grace Mwangi</t>
  </si>
  <si>
    <t>ORD-10004</t>
  </si>
  <si>
    <t>Americas</t>
  </si>
  <si>
    <t>Brazil</t>
  </si>
  <si>
    <t>S-09</t>
  </si>
  <si>
    <t>Isabela Rocha</t>
  </si>
  <si>
    <t>P-303</t>
  </si>
  <si>
    <t>Business Laptop 15</t>
  </si>
  <si>
    <t>Laptops</t>
  </si>
  <si>
    <t>ORD-10005</t>
  </si>
  <si>
    <t>P-203</t>
  </si>
  <si>
    <t>Portable Monitor</t>
  </si>
  <si>
    <t>Displays</t>
  </si>
  <si>
    <t>ORD-10006</t>
  </si>
  <si>
    <t>Retail</t>
  </si>
  <si>
    <t>ORD-10007</t>
  </si>
  <si>
    <t>Mexico</t>
  </si>
  <si>
    <t>S-04</t>
  </si>
  <si>
    <t>Diana Lopez</t>
  </si>
  <si>
    <t>P-403</t>
  </si>
  <si>
    <t>Conference Mic</t>
  </si>
  <si>
    <t>ORD-10008</t>
  </si>
  <si>
    <t>P-202</t>
  </si>
  <si>
    <t>34in Ultrawide</t>
  </si>
  <si>
    <t>ORD-10009</t>
  </si>
  <si>
    <t>Japan</t>
  </si>
  <si>
    <t>S-08</t>
  </si>
  <si>
    <t>Hiro Tanaka</t>
  </si>
  <si>
    <t>P-302</t>
  </si>
  <si>
    <t>Gaming Laptop 16</t>
  </si>
  <si>
    <t>ORD-10010</t>
  </si>
  <si>
    <t>United States</t>
  </si>
  <si>
    <t>S-05</t>
  </si>
  <si>
    <t>Ethan Brooks</t>
  </si>
  <si>
    <t>P-501</t>
  </si>
  <si>
    <t>Webcam 4K</t>
  </si>
  <si>
    <t>Peripherals</t>
  </si>
  <si>
    <t>ORD-10011</t>
  </si>
  <si>
    <t>ORD-10012</t>
  </si>
  <si>
    <t>ORD-10013</t>
  </si>
  <si>
    <t>P-401</t>
  </si>
  <si>
    <t>Noise-Cancel Headset</t>
  </si>
  <si>
    <t>ORD-10014</t>
  </si>
  <si>
    <t>ORD-10015</t>
  </si>
  <si>
    <t>ORD-10016</t>
  </si>
  <si>
    <t>P-201</t>
  </si>
  <si>
    <t>27in Monitor</t>
  </si>
  <si>
    <t>ORD-10017</t>
  </si>
  <si>
    <t>United Arab Emirates</t>
  </si>
  <si>
    <t>S-06</t>
  </si>
  <si>
    <t>Fatima Noor</t>
  </si>
  <si>
    <t>ORD-10018</t>
  </si>
  <si>
    <t>ORD-10019</t>
  </si>
  <si>
    <t>ORD-10020</t>
  </si>
  <si>
    <t>P-104</t>
  </si>
  <si>
    <t>Laptop Stand</t>
  </si>
  <si>
    <t>ORD-10021</t>
  </si>
  <si>
    <t>P-502</t>
  </si>
  <si>
    <t>Document Scanner</t>
  </si>
  <si>
    <t>ORD-10022</t>
  </si>
  <si>
    <t>ORD-10023</t>
  </si>
  <si>
    <t>ORD-10024</t>
  </si>
  <si>
    <t>ORD-10025</t>
  </si>
  <si>
    <t>ORD-10026</t>
  </si>
  <si>
    <t>ORD-10027</t>
  </si>
  <si>
    <t>ORD-10028</t>
  </si>
  <si>
    <t>ORD-10029</t>
  </si>
  <si>
    <t>ORD-10030</t>
  </si>
  <si>
    <t>ORD-10031</t>
  </si>
  <si>
    <t>P-301</t>
  </si>
  <si>
    <t>Ultrabook 14</t>
  </si>
  <si>
    <t>ORD-10032</t>
  </si>
  <si>
    <t>ORD-10033</t>
  </si>
  <si>
    <t>ORD-10034</t>
  </si>
  <si>
    <t>ORD-10035</t>
  </si>
  <si>
    <t>ORD-10036</t>
  </si>
  <si>
    <t>ORD-10037</t>
  </si>
  <si>
    <t>ORD-10038</t>
  </si>
  <si>
    <t>ORD-10039</t>
  </si>
  <si>
    <t>ORD-10040</t>
  </si>
  <si>
    <t>ORD-10041</t>
  </si>
  <si>
    <t>ORD-10042</t>
  </si>
  <si>
    <t>ORD-10043</t>
  </si>
  <si>
    <t>ORD-10044</t>
  </si>
  <si>
    <t>ORD-10045</t>
  </si>
  <si>
    <t>ORD-10046</t>
  </si>
  <si>
    <t>ORD-10047</t>
  </si>
  <si>
    <t>P-103</t>
  </si>
  <si>
    <t>USB-C Hub</t>
  </si>
  <si>
    <t>ORD-10048</t>
  </si>
  <si>
    <t>ORD-10049</t>
  </si>
  <si>
    <t>ORD-10050</t>
  </si>
  <si>
    <t>ORD-10051</t>
  </si>
  <si>
    <t>ORD-10052</t>
  </si>
  <si>
    <t>ORD-10053</t>
  </si>
  <si>
    <t>ORD-10054</t>
  </si>
  <si>
    <t>United Kingdom</t>
  </si>
  <si>
    <t>S-01</t>
  </si>
  <si>
    <t>Aisha Khan</t>
  </si>
  <si>
    <t>ORD-10055</t>
  </si>
  <si>
    <t>P-102</t>
  </si>
  <si>
    <t>Mechanical Keyboard</t>
  </si>
  <si>
    <t>ORD-10056</t>
  </si>
  <si>
    <t>ORD-10057</t>
  </si>
  <si>
    <t>Canada</t>
  </si>
  <si>
    <t>S-10</t>
  </si>
  <si>
    <t>Jamal Edwards</t>
  </si>
  <si>
    <t>ORD-10058</t>
  </si>
  <si>
    <t>ORD-10059</t>
  </si>
  <si>
    <t>ORD-10060</t>
  </si>
  <si>
    <t>ORD-10061</t>
  </si>
  <si>
    <t>ORD-10062</t>
  </si>
  <si>
    <t>ORD-10063</t>
  </si>
  <si>
    <t>ORD-10064</t>
  </si>
  <si>
    <t>ORD-10065</t>
  </si>
  <si>
    <t>ORD-10066</t>
  </si>
  <si>
    <t>ORD-10067</t>
  </si>
  <si>
    <t>ORD-10068</t>
  </si>
  <si>
    <t>ORD-10069</t>
  </si>
  <si>
    <t>ORD-10070</t>
  </si>
  <si>
    <t>ORD-10071</t>
  </si>
  <si>
    <t>ORD-10072</t>
  </si>
  <si>
    <t>ORD-10073</t>
  </si>
  <si>
    <t>ORD-10074</t>
  </si>
  <si>
    <t>ORD-10075</t>
  </si>
  <si>
    <t>ORD-10076</t>
  </si>
  <si>
    <t>ORD-10077</t>
  </si>
  <si>
    <t>ORD-10078</t>
  </si>
  <si>
    <t>ORD-10079</t>
  </si>
  <si>
    <t>ORD-10080</t>
  </si>
  <si>
    <t>ORD-10081</t>
  </si>
  <si>
    <t>ORD-10082</t>
  </si>
  <si>
    <t>ORD-10083</t>
  </si>
  <si>
    <t>ORD-10084</t>
  </si>
  <si>
    <t>ORD-10085</t>
  </si>
  <si>
    <t>ORD-10086</t>
  </si>
  <si>
    <t>ORD-10087</t>
  </si>
  <si>
    <t>ORD-10088</t>
  </si>
  <si>
    <t>ORD-10089</t>
  </si>
  <si>
    <t>ORD-10090</t>
  </si>
  <si>
    <t>ORD-10091</t>
  </si>
  <si>
    <t>ORD-10092</t>
  </si>
  <si>
    <t>ORD-10093</t>
  </si>
  <si>
    <t>ORD-10094</t>
  </si>
  <si>
    <t>ORD-10095</t>
  </si>
  <si>
    <t>ORD-10096</t>
  </si>
  <si>
    <t>ORD-10097</t>
  </si>
  <si>
    <t>ORD-10098</t>
  </si>
  <si>
    <t>ORD-10099</t>
  </si>
  <si>
    <t>ORD-10100</t>
  </si>
  <si>
    <t>ORD-10101</t>
  </si>
  <si>
    <t>ORD-10102</t>
  </si>
  <si>
    <t>ORD-10103</t>
  </si>
  <si>
    <t>ORD-10104</t>
  </si>
  <si>
    <t>ORD-10105</t>
  </si>
  <si>
    <t>ORD-10106</t>
  </si>
  <si>
    <t>ORD-10107</t>
  </si>
  <si>
    <t>ORD-10108</t>
  </si>
  <si>
    <t>ORD-10109</t>
  </si>
  <si>
    <t>ORD-10110</t>
  </si>
  <si>
    <t>ORD-10111</t>
  </si>
  <si>
    <t>ORD-10112</t>
  </si>
  <si>
    <t>ORD-10113</t>
  </si>
  <si>
    <t>ORD-10114</t>
  </si>
  <si>
    <t>ORD-10115</t>
  </si>
  <si>
    <t>ORD-10116</t>
  </si>
  <si>
    <t>ORD-10117</t>
  </si>
  <si>
    <t>ORD-10118</t>
  </si>
  <si>
    <t>ORD-10119</t>
  </si>
  <si>
    <t>ORD-10120</t>
  </si>
  <si>
    <t>ORD-10121</t>
  </si>
  <si>
    <t>ORD-10122</t>
  </si>
  <si>
    <t>ORD-10123</t>
  </si>
  <si>
    <t>ORD-10124</t>
  </si>
  <si>
    <t>ORD-10125</t>
  </si>
  <si>
    <t>ORD-10126</t>
  </si>
  <si>
    <t>ORD-10127</t>
  </si>
  <si>
    <t>ORD-10128</t>
  </si>
  <si>
    <t>ORD-10129</t>
  </si>
  <si>
    <t>ORD-10130</t>
  </si>
  <si>
    <t>ORD-10131</t>
  </si>
  <si>
    <t>ORD-10132</t>
  </si>
  <si>
    <t>ORD-10133</t>
  </si>
  <si>
    <t>ORD-10134</t>
  </si>
  <si>
    <t>ORD-10135</t>
  </si>
  <si>
    <t>ORD-10136</t>
  </si>
  <si>
    <t>ORD-10137</t>
  </si>
  <si>
    <t>ORD-10138</t>
  </si>
  <si>
    <t>ORD-10139</t>
  </si>
  <si>
    <t>ORD-10140</t>
  </si>
  <si>
    <t>ORD-10141</t>
  </si>
  <si>
    <t>ORD-10142</t>
  </si>
  <si>
    <t>ORD-10143</t>
  </si>
  <si>
    <t>ORD-10144</t>
  </si>
  <si>
    <t>ORD-10145</t>
  </si>
  <si>
    <t>ORD-10146</t>
  </si>
  <si>
    <t>ORD-10147</t>
  </si>
  <si>
    <t>ORD-10148</t>
  </si>
  <si>
    <t>ORD-10149</t>
  </si>
  <si>
    <t>ORD-10150</t>
  </si>
  <si>
    <t>ORD-10151</t>
  </si>
  <si>
    <t>ORD-10152</t>
  </si>
  <si>
    <t>ORD-10153</t>
  </si>
  <si>
    <t>ORD-10154</t>
  </si>
  <si>
    <t>ORD-10155</t>
  </si>
  <si>
    <t>ORD-10156</t>
  </si>
  <si>
    <t>ORD-10157</t>
  </si>
  <si>
    <t>ORD-10158</t>
  </si>
  <si>
    <t>ORD-10159</t>
  </si>
  <si>
    <t>ORD-10160</t>
  </si>
  <si>
    <t>ORD-10161</t>
  </si>
  <si>
    <t>ORD-10162</t>
  </si>
  <si>
    <t>ORD-10163</t>
  </si>
  <si>
    <t>ORD-10164</t>
  </si>
  <si>
    <t>ORD-10165</t>
  </si>
  <si>
    <t>ORD-10166</t>
  </si>
  <si>
    <t>ORD-10167</t>
  </si>
  <si>
    <t>ORD-10168</t>
  </si>
  <si>
    <t>ORD-10169</t>
  </si>
  <si>
    <t>ORD-10170</t>
  </si>
  <si>
    <t>ORD-10171</t>
  </si>
  <si>
    <t>ORD-10172</t>
  </si>
  <si>
    <t>ORD-10173</t>
  </si>
  <si>
    <t>ORD-10174</t>
  </si>
  <si>
    <t>ORD-10175</t>
  </si>
  <si>
    <t>ORD-10176</t>
  </si>
  <si>
    <t>ORD-10177</t>
  </si>
  <si>
    <t>ORD-10178</t>
  </si>
  <si>
    <t>ORD-10179</t>
  </si>
  <si>
    <t>ORD-10180</t>
  </si>
  <si>
    <t>ORD-10181</t>
  </si>
  <si>
    <t>ORD-10182</t>
  </si>
  <si>
    <t>ORD-10183</t>
  </si>
  <si>
    <t>ORD-10184</t>
  </si>
  <si>
    <t>ORD-10185</t>
  </si>
  <si>
    <t>ORD-10186</t>
  </si>
  <si>
    <t>ORD-10187</t>
  </si>
  <si>
    <t>ORD-10188</t>
  </si>
  <si>
    <t>ORD-10189</t>
  </si>
  <si>
    <t>ORD-10190</t>
  </si>
  <si>
    <t>ORD-10191</t>
  </si>
  <si>
    <t>ORD-10192</t>
  </si>
  <si>
    <t>ORD-10193</t>
  </si>
  <si>
    <t>ORD-10194</t>
  </si>
  <si>
    <t>ORD-10195</t>
  </si>
  <si>
    <t>ORD-10196</t>
  </si>
  <si>
    <t>ORD-10197</t>
  </si>
  <si>
    <t>ORD-10198</t>
  </si>
  <si>
    <t>ORD-10199</t>
  </si>
  <si>
    <t>ORD-10200</t>
  </si>
  <si>
    <t>Discount</t>
  </si>
  <si>
    <t>Revenue</t>
  </si>
  <si>
    <t>Commission</t>
  </si>
  <si>
    <t>Profit</t>
  </si>
  <si>
    <t>ProfitMargin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</si>
</sst>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&quot;$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1" fontId="0" fillId="0" borderId="0" xfId="0" applyNumberFormat="1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164" fontId="2" fillId="0" borderId="0" xfId="0" applyNumberFormat="1" applyFont="1"/>
    <xf numFmtId="9" fontId="0" fillId="0" borderId="0" xfId="1" applyFont="1"/>
    <xf numFmtId="9" fontId="2" fillId="0" borderId="0" xfId="1" applyFont="1"/>
    <xf numFmtId="1" fontId="1" fillId="0" borderId="0" xfId="0" applyNumberFormat="1" applyFont="1"/>
    <xf numFmtId="14" fontId="1" fillId="0" borderId="0" xfId="0" applyNumberFormat="1" applyFont="1"/>
    <xf numFmtId="164" fontId="1" fillId="0" borderId="0" xfId="0" applyNumberFormat="1" applyFont="1"/>
    <xf numFmtId="9" fontId="1" fillId="0" borderId="0" xfId="1" applyFont="1"/>
  </cellXfs>
  <cellStyles count="2">
    <cellStyle name="Normal" xfId="0" builtinId="0"/>
    <cellStyle name="Percent" xfId="1" builtinId="5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&quot;$&quot;#,##0"/>
    </dxf>
    <dxf>
      <numFmt numFmtId="164" formatCode="&quot;$&quot;#,##0"/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&quot;$&quot;#,##0"/>
    </dxf>
    <dxf>
      <numFmt numFmtId="164" formatCode="&quot;$&quot;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&quot;$&quot;#,##0"/>
    </dxf>
    <dxf>
      <numFmt numFmtId="164" formatCode="&quot;$&quot;#,##0"/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#,##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C951B1-5733-4EFD-8B11-33D2FF97D0D3}" name="sales_tbl" displayName="sales_tbl" ref="A1:O202" totalsRowCount="1" headerRowDxfId="20">
  <autoFilter ref="A1:O201" xr:uid="{3FC951B1-5733-4EFD-8B11-33D2FF97D0D3}"/>
  <tableColumns count="15">
    <tableColumn id="1" xr3:uid="{B36D4159-6E57-4180-AD4F-535888F98F75}" name="OrderID"/>
    <tableColumn id="2" xr3:uid="{494702C9-E619-41FE-9E90-BFD569A3ED36}" name="OrderDate" dataDxfId="19" totalsRowDxfId="7"/>
    <tableColumn id="3" xr3:uid="{418E1E01-F53A-468D-A4BD-5738A8A12AEC}" name="SalespersonID"/>
    <tableColumn id="4" xr3:uid="{488EC2CE-632D-4DFF-866F-D4C15F396D8B}" name="ProductID"/>
    <tableColumn id="5" xr3:uid="{F2F4D4F0-C6F3-4B28-865C-D14B646E4680}" name="Channel"/>
    <tableColumn id="6" xr3:uid="{2DD144E5-A0A9-45A4-BED3-91C0ED9F0E7B}" name="Region">
      <calculatedColumnFormula>_xlfn.XLOOKUP(C2,Salespeople!$A$2:$A$11,Salespeople!$C$2:$C$11)</calculatedColumnFormula>
    </tableColumn>
    <tableColumn id="7" xr3:uid="{9999F0BE-73F8-439A-B4A0-31B99D7D72DC}" name="Country">
      <calculatedColumnFormula>_xlfn.XLOOKUP(C2,Salespeople!$A$2:$A$11,Salespeople!$D$2:$D$11)</calculatedColumnFormula>
    </tableColumn>
    <tableColumn id="8" xr3:uid="{AEE30D3D-00D8-468B-A0DE-9AB27DE15F81}" name="Quantity"/>
    <tableColumn id="9" xr3:uid="{B148DB69-BC05-4AF2-A96B-9A398E89E753}" name="UnitPrice" dataDxfId="18" totalsRowDxfId="6">
      <calculatedColumnFormula>_xlfn.XLOOKUP($D2,Products!$A$2:$A$16,Products!$D$2:$D$16)</calculatedColumnFormula>
    </tableColumn>
    <tableColumn id="10" xr3:uid="{6F5CF84D-57C1-4105-B62F-E85E07141BFB}" name="UnitCost" dataDxfId="17" totalsRowDxfId="5">
      <calculatedColumnFormula>_xlfn.XLOOKUP(Sales!$D2,Products!$A$2:$A$16,Products!$E$2:$E$16)</calculatedColumnFormula>
    </tableColumn>
    <tableColumn id="11" xr3:uid="{5A00E248-7806-4F9D-9B01-B151C73260F2}" name="Discount" dataDxfId="16" totalsRowDxfId="4" dataCellStyle="Percent" totalsRowCellStyle="Percent">
      <calculatedColumnFormula array="1">_xlfn.IFS(H2&lt;=5,0%,H2&lt;=10,5%,H2&lt;=15,10%,H2&lt;=20,15%,H2&gt;20,20%)</calculatedColumnFormula>
    </tableColumn>
    <tableColumn id="12" xr3:uid="{2E3C8D74-E64A-4965-BC15-D93D1151B25E}" name="Revenue" totalsRowFunction="custom" dataDxfId="15" totalsRowDxfId="3">
      <calculatedColumnFormula>H2*I2*(1-K2)</calculatedColumnFormula>
      <totalsRowFormula>SUM(L2:L201)</totalsRowFormula>
    </tableColumn>
    <tableColumn id="13" xr3:uid="{8CF5ABD3-A636-42BB-89A5-58C6F5D812FA}" name="Commission" dataDxfId="14" totalsRowDxfId="2">
      <calculatedColumnFormula array="1">L2*_xlfn.IFS(L2&lt;=5000,0.02,L2&lt;=15000,0.04,L2&gt;15000,0.06)</calculatedColumnFormula>
    </tableColumn>
    <tableColumn id="14" xr3:uid="{E7128200-3FD6-45A5-9119-E5683A548F3A}" name="Profit" dataDxfId="13" totalsRowDxfId="1">
      <calculatedColumnFormula>L2-(H2*J2)</calculatedColumnFormula>
    </tableColumn>
    <tableColumn id="15" xr3:uid="{AEC05795-50E4-4085-AAA2-F5A1B799FBCA}" name="ProfitMargin" dataDxfId="12" totalsRowDxfId="0" dataCellStyle="Percent" totalsRowCellStyle="Percent">
      <calculatedColumnFormula>N2/L2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EEA618C-4742-4199-9DC1-B051FFAC2E69}" name="products_tbl" displayName="products_tbl" ref="A1:E16" totalsRowShown="0" headerRowDxfId="11">
  <autoFilter ref="A1:E16" xr:uid="{BEEA618C-4742-4199-9DC1-B051FFAC2E69}"/>
  <tableColumns count="5">
    <tableColumn id="1" xr3:uid="{4BA51760-9DD5-4C32-8708-B2748D45EF3D}" name="ProductID"/>
    <tableColumn id="2" xr3:uid="{449101D1-6FFC-4016-8E54-7A2C13F0DF84}" name="Product"/>
    <tableColumn id="3" xr3:uid="{E733DEAA-EE2A-404E-A23B-DD7E212B4AFA}" name="Category"/>
    <tableColumn id="4" xr3:uid="{1431B351-FE96-4DC8-9DB4-4D96047E5934}" name="UnitPrice" dataDxfId="10"/>
    <tableColumn id="5" xr3:uid="{3BC77D8F-4579-44FA-889B-A8E59FC45BFF}" name="UnitCost" dataDxfId="9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98166D-D02B-4E38-8555-230C3FFCFBDE}" name="salespeople_tbl" displayName="salespeople_tbl" ref="A1:D11" totalsRowShown="0" headerRowDxfId="8">
  <autoFilter ref="A1:D11" xr:uid="{B898166D-D02B-4E38-8555-230C3FFCFBDE}"/>
  <tableColumns count="4">
    <tableColumn id="1" xr3:uid="{46D14CBD-31A3-4256-A2CE-953D7B0D9473}" name="SalespersonID"/>
    <tableColumn id="2" xr3:uid="{CC0E4F8E-CCE3-46E5-AEE6-7AF2F266B204}" name="Salesperson"/>
    <tableColumn id="3" xr3:uid="{47BA149E-CB4B-4B33-BD41-C11CC94A2FDD}" name="Region"/>
    <tableColumn id="4" xr3:uid="{7D4D0F18-6878-4364-8FD5-D519F36D1E42}" name="Countr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1"/>
  <sheetViews>
    <sheetView workbookViewId="0">
      <pane ySplit="1" topLeftCell="A2" activePane="bottomLeft" state="frozen"/>
      <selection activeCell="R25" sqref="R25"/>
      <selection pane="bottomLeft" activeCell="Q20" sqref="Q20"/>
    </sheetView>
  </sheetViews>
  <sheetFormatPr defaultRowHeight="14.25" x14ac:dyDescent="0.45"/>
  <cols>
    <col min="1" max="1" width="11" customWidth="1"/>
    <col min="2" max="2" width="13.3984375" style="4" customWidth="1"/>
    <col min="3" max="3" width="16.73046875" customWidth="1"/>
    <col min="4" max="4" width="13" customWidth="1"/>
    <col min="5" max="5" width="11" customWidth="1"/>
    <col min="6" max="6" width="7.9296875" customWidth="1"/>
    <col min="7" max="7" width="22" customWidth="1"/>
    <col min="8" max="8" width="11.86328125" style="3" customWidth="1"/>
    <col min="9" max="10" width="9.06640625" style="5"/>
    <col min="12" max="12" width="9.6640625" bestFit="1" customWidth="1"/>
    <col min="13" max="13" width="11.53125" bestFit="1" customWidth="1"/>
    <col min="15" max="15" width="12" style="8" bestFit="1" customWidth="1"/>
  </cols>
  <sheetData>
    <row r="1" spans="1:15" s="2" customFormat="1" ht="15.75" x14ac:dyDescent="0.5">
      <c r="A1" s="1" t="s">
        <v>0</v>
      </c>
      <c r="B1" s="11" t="s">
        <v>1</v>
      </c>
      <c r="C1" s="1" t="s">
        <v>5</v>
      </c>
      <c r="D1" s="1" t="s">
        <v>7</v>
      </c>
      <c r="E1" s="1" t="s">
        <v>2</v>
      </c>
      <c r="F1" s="1" t="s">
        <v>3</v>
      </c>
      <c r="G1" s="1" t="s">
        <v>4</v>
      </c>
      <c r="H1" s="10" t="s">
        <v>10</v>
      </c>
      <c r="I1" s="7" t="s">
        <v>11</v>
      </c>
      <c r="J1" s="7" t="s">
        <v>12</v>
      </c>
      <c r="K1" s="2" t="s">
        <v>284</v>
      </c>
      <c r="L1" s="2" t="s">
        <v>285</v>
      </c>
      <c r="M1" s="2" t="s">
        <v>286</v>
      </c>
      <c r="N1" s="2" t="s">
        <v>287</v>
      </c>
      <c r="O1" s="9" t="s">
        <v>288</v>
      </c>
    </row>
    <row r="2" spans="1:15" x14ac:dyDescent="0.45">
      <c r="A2" t="s">
        <v>13</v>
      </c>
      <c r="B2" s="4">
        <v>45619</v>
      </c>
      <c r="C2" t="s">
        <v>17</v>
      </c>
      <c r="D2" t="s">
        <v>19</v>
      </c>
      <c r="E2" t="s">
        <v>14</v>
      </c>
      <c r="F2" t="str">
        <f>_xlfn.XLOOKUP(C2,Salespeople!$A$2:$A$11,Salespeople!$C$2:$C$11)</f>
        <v>EMEA</v>
      </c>
      <c r="G2" t="str">
        <f>_xlfn.XLOOKUP(C2,Salespeople!$A$2:$A$11,Salespeople!$D$2:$D$11)</f>
        <v>Portugal</v>
      </c>
      <c r="H2" s="3">
        <v>9</v>
      </c>
      <c r="I2" s="5">
        <f>_xlfn.XLOOKUP($D2,Products!$A$2:$A$16,Products!$D$2:$D$16)</f>
        <v>25</v>
      </c>
      <c r="J2" s="5">
        <f>_xlfn.XLOOKUP(Sales!$D2,Products!$A$2:$A$16,Products!$E$2:$E$16)</f>
        <v>11</v>
      </c>
      <c r="K2" s="8" cm="1">
        <f t="array" ref="K2">_xlfn.IFS(H2&lt;=5,0%,H2&lt;=10,5%,H2&lt;=15,10%,H2&lt;=20,15%,H2&gt;20,20%)</f>
        <v>0.05</v>
      </c>
      <c r="L2" s="6">
        <f>H2*I2*(1-K2)</f>
        <v>213.75</v>
      </c>
      <c r="M2" s="6" cm="1">
        <f t="array" ref="M2">L2*_xlfn.IFS(L2&lt;=5000,0.02,L2&lt;=15000,0.04,L2&gt;15000,0.06)</f>
        <v>4.2750000000000004</v>
      </c>
      <c r="N2" s="6">
        <f>L2-(H2*J2)</f>
        <v>114.75</v>
      </c>
      <c r="O2" s="8">
        <f>N2/L2</f>
        <v>0.5368421052631579</v>
      </c>
    </row>
    <row r="3" spans="1:15" x14ac:dyDescent="0.45">
      <c r="A3" t="s">
        <v>22</v>
      </c>
      <c r="B3" s="4">
        <v>45406</v>
      </c>
      <c r="C3" t="s">
        <v>26</v>
      </c>
      <c r="D3" t="s">
        <v>28</v>
      </c>
      <c r="E3" t="s">
        <v>23</v>
      </c>
      <c r="F3" t="str">
        <f>_xlfn.XLOOKUP(C3,Salespeople!$A$2:$A$11,Salespeople!$C$2:$C$11)</f>
        <v>APAC</v>
      </c>
      <c r="G3" t="str">
        <f>_xlfn.XLOOKUP(C3,Salespeople!$A$2:$A$11,Salespeople!$D$2:$D$11)</f>
        <v>Singapore</v>
      </c>
      <c r="H3" s="3">
        <v>22</v>
      </c>
      <c r="I3" s="5">
        <f>_xlfn.XLOOKUP($D3,Products!$A$2:$A$16,Products!$D$2:$D$16)</f>
        <v>95</v>
      </c>
      <c r="J3" s="5">
        <f>_xlfn.XLOOKUP(Sales!$D3,Products!$A$2:$A$16,Products!$E$2:$E$16)</f>
        <v>44</v>
      </c>
      <c r="K3" s="8" cm="1">
        <f t="array" ref="K3">_xlfn.IFS(H3&lt;=5,0%,H3&lt;=10,5%,H3&lt;=15,10%,H3&lt;=20,15%,H3&gt;20,20%)</f>
        <v>0.2</v>
      </c>
      <c r="L3" s="6">
        <f t="shared" ref="L3:L66" si="0">H3*I3*(1-K3)</f>
        <v>1672</v>
      </c>
      <c r="M3" s="6" cm="1">
        <f t="array" ref="M3">L3*_xlfn.IFS(L3&lt;=5000,0.02,L3&lt;=15000,0.04,L3&gt;15000,0.06)</f>
        <v>33.44</v>
      </c>
      <c r="N3" s="6">
        <f t="shared" ref="N3:N66" si="1">L3-(H3*J3)</f>
        <v>704</v>
      </c>
      <c r="O3" s="8">
        <f t="shared" ref="O3:O66" si="2">N3/L3</f>
        <v>0.42105263157894735</v>
      </c>
    </row>
    <row r="4" spans="1:15" x14ac:dyDescent="0.45">
      <c r="A4" t="s">
        <v>31</v>
      </c>
      <c r="B4" s="4">
        <v>45594</v>
      </c>
      <c r="C4" t="s">
        <v>33</v>
      </c>
      <c r="D4" t="s">
        <v>19</v>
      </c>
      <c r="E4" t="s">
        <v>23</v>
      </c>
      <c r="F4" t="str">
        <f>_xlfn.XLOOKUP(C4,Salespeople!$A$2:$A$11,Salespeople!$C$2:$C$11)</f>
        <v>EMEA</v>
      </c>
      <c r="G4" t="str">
        <f>_xlfn.XLOOKUP(C4,Salespeople!$A$2:$A$11,Salespeople!$D$2:$D$11)</f>
        <v>Kenya</v>
      </c>
      <c r="H4" s="3">
        <v>3</v>
      </c>
      <c r="I4" s="5">
        <f>_xlfn.XLOOKUP($D4,Products!$A$2:$A$16,Products!$D$2:$D$16)</f>
        <v>25</v>
      </c>
      <c r="J4" s="5">
        <f>_xlfn.XLOOKUP(Sales!$D4,Products!$A$2:$A$16,Products!$E$2:$E$16)</f>
        <v>11</v>
      </c>
      <c r="K4" s="8" cm="1">
        <f t="array" ref="K4">_xlfn.IFS(H4&lt;=5,0%,H4&lt;=10,5%,H4&lt;=15,10%,H4&lt;=20,15%,H4&gt;20,20%)</f>
        <v>0</v>
      </c>
      <c r="L4" s="6">
        <f t="shared" si="0"/>
        <v>75</v>
      </c>
      <c r="M4" s="6" cm="1">
        <f t="array" ref="M4">L4*_xlfn.IFS(L4&lt;=5000,0.02,L4&lt;=15000,0.04,L4&gt;15000,0.06)</f>
        <v>1.5</v>
      </c>
      <c r="N4" s="6">
        <f t="shared" si="1"/>
        <v>42</v>
      </c>
      <c r="O4" s="8">
        <f t="shared" si="2"/>
        <v>0.56000000000000005</v>
      </c>
    </row>
    <row r="5" spans="1:15" x14ac:dyDescent="0.45">
      <c r="A5" t="s">
        <v>35</v>
      </c>
      <c r="B5" s="4">
        <v>45411</v>
      </c>
      <c r="C5" t="s">
        <v>38</v>
      </c>
      <c r="D5" t="s">
        <v>40</v>
      </c>
      <c r="E5" t="s">
        <v>23</v>
      </c>
      <c r="F5" t="str">
        <f>_xlfn.XLOOKUP(C5,Salespeople!$A$2:$A$11,Salespeople!$C$2:$C$11)</f>
        <v>Americas</v>
      </c>
      <c r="G5" t="str">
        <f>_xlfn.XLOOKUP(C5,Salespeople!$A$2:$A$11,Salespeople!$D$2:$D$11)</f>
        <v>Brazil</v>
      </c>
      <c r="H5" s="3">
        <v>18</v>
      </c>
      <c r="I5" s="5">
        <f>_xlfn.XLOOKUP($D5,Products!$A$2:$A$16,Products!$D$2:$D$16)</f>
        <v>1050</v>
      </c>
      <c r="J5" s="5">
        <f>_xlfn.XLOOKUP(Sales!$D5,Products!$A$2:$A$16,Products!$E$2:$E$16)</f>
        <v>760</v>
      </c>
      <c r="K5" s="8" cm="1">
        <f t="array" ref="K5">_xlfn.IFS(H5&lt;=5,0%,H5&lt;=10,5%,H5&lt;=15,10%,H5&lt;=20,15%,H5&gt;20,20%)</f>
        <v>0.15</v>
      </c>
      <c r="L5" s="6">
        <f t="shared" si="0"/>
        <v>16065</v>
      </c>
      <c r="M5" s="6" cm="1">
        <f t="array" ref="M5">L5*_xlfn.IFS(L5&lt;=5000,0.02,L5&lt;=15000,0.04,L5&gt;15000,0.06)</f>
        <v>963.9</v>
      </c>
      <c r="N5" s="6">
        <f t="shared" si="1"/>
        <v>2385</v>
      </c>
      <c r="O5" s="8">
        <f t="shared" si="2"/>
        <v>0.1484593837535014</v>
      </c>
    </row>
    <row r="6" spans="1:15" x14ac:dyDescent="0.45">
      <c r="A6" t="s">
        <v>43</v>
      </c>
      <c r="B6" s="4">
        <v>45624</v>
      </c>
      <c r="C6" t="s">
        <v>38</v>
      </c>
      <c r="D6" t="s">
        <v>44</v>
      </c>
      <c r="E6" t="s">
        <v>23</v>
      </c>
      <c r="F6" t="str">
        <f>_xlfn.XLOOKUP(C6,Salespeople!$A$2:$A$11,Salespeople!$C$2:$C$11)</f>
        <v>Americas</v>
      </c>
      <c r="G6" t="str">
        <f>_xlfn.XLOOKUP(C6,Salespeople!$A$2:$A$11,Salespeople!$D$2:$D$11)</f>
        <v>Brazil</v>
      </c>
      <c r="H6" s="3">
        <v>15</v>
      </c>
      <c r="I6" s="5">
        <f>_xlfn.XLOOKUP($D6,Products!$A$2:$A$16,Products!$D$2:$D$16)</f>
        <v>180</v>
      </c>
      <c r="J6" s="5">
        <f>_xlfn.XLOOKUP(Sales!$D6,Products!$A$2:$A$16,Products!$E$2:$E$16)</f>
        <v>105</v>
      </c>
      <c r="K6" s="8" cm="1">
        <f t="array" ref="K6">_xlfn.IFS(H6&lt;=5,0%,H6&lt;=10,5%,H6&lt;=15,10%,H6&lt;=20,15%,H6&gt;20,20%)</f>
        <v>0.1</v>
      </c>
      <c r="L6" s="6">
        <f t="shared" si="0"/>
        <v>2430</v>
      </c>
      <c r="M6" s="6" cm="1">
        <f t="array" ref="M6">L6*_xlfn.IFS(L6&lt;=5000,0.02,L6&lt;=15000,0.04,L6&gt;15000,0.06)</f>
        <v>48.6</v>
      </c>
      <c r="N6" s="6">
        <f t="shared" si="1"/>
        <v>855</v>
      </c>
      <c r="O6" s="8">
        <f t="shared" si="2"/>
        <v>0.35185185185185186</v>
      </c>
    </row>
    <row r="7" spans="1:15" x14ac:dyDescent="0.45">
      <c r="A7" t="s">
        <v>47</v>
      </c>
      <c r="B7" s="4">
        <v>45295</v>
      </c>
      <c r="C7" t="s">
        <v>26</v>
      </c>
      <c r="D7" t="s">
        <v>28</v>
      </c>
      <c r="E7" t="s">
        <v>48</v>
      </c>
      <c r="F7" t="str">
        <f>_xlfn.XLOOKUP(C7,Salespeople!$A$2:$A$11,Salespeople!$C$2:$C$11)</f>
        <v>APAC</v>
      </c>
      <c r="G7" t="str">
        <f>_xlfn.XLOOKUP(C7,Salespeople!$A$2:$A$11,Salespeople!$D$2:$D$11)</f>
        <v>Singapore</v>
      </c>
      <c r="H7" s="3">
        <v>11</v>
      </c>
      <c r="I7" s="5">
        <f>_xlfn.XLOOKUP($D7,Products!$A$2:$A$16,Products!$D$2:$D$16)</f>
        <v>95</v>
      </c>
      <c r="J7" s="5">
        <f>_xlfn.XLOOKUP(Sales!$D7,Products!$A$2:$A$16,Products!$E$2:$E$16)</f>
        <v>44</v>
      </c>
      <c r="K7" s="8" cm="1">
        <f t="array" ref="K7">_xlfn.IFS(H7&lt;=5,0%,H7&lt;=10,5%,H7&lt;=15,10%,H7&lt;=20,15%,H7&gt;20,20%)</f>
        <v>0.1</v>
      </c>
      <c r="L7" s="6">
        <f t="shared" si="0"/>
        <v>940.5</v>
      </c>
      <c r="M7" s="6" cm="1">
        <f t="array" ref="M7">L7*_xlfn.IFS(L7&lt;=5000,0.02,L7&lt;=15000,0.04,L7&gt;15000,0.06)</f>
        <v>18.809999999999999</v>
      </c>
      <c r="N7" s="6">
        <f t="shared" si="1"/>
        <v>456.5</v>
      </c>
      <c r="O7" s="8">
        <f t="shared" si="2"/>
        <v>0.4853801169590643</v>
      </c>
    </row>
    <row r="8" spans="1:15" x14ac:dyDescent="0.45">
      <c r="A8" t="s">
        <v>49</v>
      </c>
      <c r="B8" s="4">
        <v>45371</v>
      </c>
      <c r="C8" t="s">
        <v>51</v>
      </c>
      <c r="D8" t="s">
        <v>53</v>
      </c>
      <c r="E8" t="s">
        <v>48</v>
      </c>
      <c r="F8" t="str">
        <f>_xlfn.XLOOKUP(C8,Salespeople!$A$2:$A$11,Salespeople!$C$2:$C$11)</f>
        <v>Americas</v>
      </c>
      <c r="G8" t="str">
        <f>_xlfn.XLOOKUP(C8,Salespeople!$A$2:$A$11,Salespeople!$D$2:$D$11)</f>
        <v>Mexico</v>
      </c>
      <c r="H8" s="3">
        <v>4</v>
      </c>
      <c r="I8" s="5">
        <f>_xlfn.XLOOKUP($D8,Products!$A$2:$A$16,Products!$D$2:$D$16)</f>
        <v>130</v>
      </c>
      <c r="J8" s="5">
        <f>_xlfn.XLOOKUP(Sales!$D8,Products!$A$2:$A$16,Products!$E$2:$E$16)</f>
        <v>62</v>
      </c>
      <c r="K8" s="8" cm="1">
        <f t="array" ref="K8">_xlfn.IFS(H8&lt;=5,0%,H8&lt;=10,5%,H8&lt;=15,10%,H8&lt;=20,15%,H8&gt;20,20%)</f>
        <v>0</v>
      </c>
      <c r="L8" s="6">
        <f t="shared" si="0"/>
        <v>520</v>
      </c>
      <c r="M8" s="6" cm="1">
        <f t="array" ref="M8">L8*_xlfn.IFS(L8&lt;=5000,0.02,L8&lt;=15000,0.04,L8&gt;15000,0.06)</f>
        <v>10.4</v>
      </c>
      <c r="N8" s="6">
        <f t="shared" si="1"/>
        <v>272</v>
      </c>
      <c r="O8" s="8">
        <f t="shared" si="2"/>
        <v>0.52307692307692311</v>
      </c>
    </row>
    <row r="9" spans="1:15" x14ac:dyDescent="0.45">
      <c r="A9" t="s">
        <v>55</v>
      </c>
      <c r="B9" s="4">
        <v>45486</v>
      </c>
      <c r="C9" t="s">
        <v>17</v>
      </c>
      <c r="D9" t="s">
        <v>56</v>
      </c>
      <c r="E9" t="s">
        <v>48</v>
      </c>
      <c r="F9" t="str">
        <f>_xlfn.XLOOKUP(C9,Salespeople!$A$2:$A$11,Salespeople!$C$2:$C$11)</f>
        <v>EMEA</v>
      </c>
      <c r="G9" t="str">
        <f>_xlfn.XLOOKUP(C9,Salespeople!$A$2:$A$11,Salespeople!$D$2:$D$11)</f>
        <v>Portugal</v>
      </c>
      <c r="H9" s="3">
        <v>20</v>
      </c>
      <c r="I9" s="5">
        <f>_xlfn.XLOOKUP($D9,Products!$A$2:$A$16,Products!$D$2:$D$16)</f>
        <v>520</v>
      </c>
      <c r="J9" s="5">
        <f>_xlfn.XLOOKUP(Sales!$D9,Products!$A$2:$A$16,Products!$E$2:$E$16)</f>
        <v>360</v>
      </c>
      <c r="K9" s="8" cm="1">
        <f t="array" ref="K9">_xlfn.IFS(H9&lt;=5,0%,H9&lt;=10,5%,H9&lt;=15,10%,H9&lt;=20,15%,H9&gt;20,20%)</f>
        <v>0.15</v>
      </c>
      <c r="L9" s="6">
        <f t="shared" si="0"/>
        <v>8840</v>
      </c>
      <c r="M9" s="6" cm="1">
        <f t="array" ref="M9">L9*_xlfn.IFS(L9&lt;=5000,0.02,L9&lt;=15000,0.04,L9&gt;15000,0.06)</f>
        <v>353.6</v>
      </c>
      <c r="N9" s="6">
        <f t="shared" si="1"/>
        <v>1640</v>
      </c>
      <c r="O9" s="8">
        <f t="shared" si="2"/>
        <v>0.18552036199095023</v>
      </c>
    </row>
    <row r="10" spans="1:15" x14ac:dyDescent="0.45">
      <c r="A10" t="s">
        <v>58</v>
      </c>
      <c r="B10" s="4">
        <v>45314</v>
      </c>
      <c r="C10" t="s">
        <v>60</v>
      </c>
      <c r="D10" t="s">
        <v>62</v>
      </c>
      <c r="E10" t="s">
        <v>23</v>
      </c>
      <c r="F10" t="str">
        <f>_xlfn.XLOOKUP(C10,Salespeople!$A$2:$A$11,Salespeople!$C$2:$C$11)</f>
        <v>APAC</v>
      </c>
      <c r="G10" t="str">
        <f>_xlfn.XLOOKUP(C10,Salespeople!$A$2:$A$11,Salespeople!$D$2:$D$11)</f>
        <v>Japan</v>
      </c>
      <c r="H10" s="3">
        <v>13</v>
      </c>
      <c r="I10" s="5">
        <f>_xlfn.XLOOKUP($D10,Products!$A$2:$A$16,Products!$D$2:$D$16)</f>
        <v>1750</v>
      </c>
      <c r="J10" s="5">
        <f>_xlfn.XLOOKUP(Sales!$D10,Products!$A$2:$A$16,Products!$E$2:$E$16)</f>
        <v>1300</v>
      </c>
      <c r="K10" s="8" cm="1">
        <f t="array" ref="K10">_xlfn.IFS(H10&lt;=5,0%,H10&lt;=10,5%,H10&lt;=15,10%,H10&lt;=20,15%,H10&gt;20,20%)</f>
        <v>0.1</v>
      </c>
      <c r="L10" s="6">
        <f t="shared" si="0"/>
        <v>20475</v>
      </c>
      <c r="M10" s="6" cm="1">
        <f t="array" ref="M10">L10*_xlfn.IFS(L10&lt;=5000,0.02,L10&lt;=15000,0.04,L10&gt;15000,0.06)</f>
        <v>1228.5</v>
      </c>
      <c r="N10" s="6">
        <f t="shared" si="1"/>
        <v>3575</v>
      </c>
      <c r="O10" s="8">
        <f t="shared" si="2"/>
        <v>0.17460317460317459</v>
      </c>
    </row>
    <row r="11" spans="1:15" x14ac:dyDescent="0.45">
      <c r="A11" t="s">
        <v>64</v>
      </c>
      <c r="B11" s="4">
        <v>45574</v>
      </c>
      <c r="C11" t="s">
        <v>66</v>
      </c>
      <c r="D11" t="s">
        <v>68</v>
      </c>
      <c r="E11" t="s">
        <v>14</v>
      </c>
      <c r="F11" t="str">
        <f>_xlfn.XLOOKUP(C11,Salespeople!$A$2:$A$11,Salespeople!$C$2:$C$11)</f>
        <v>Americas</v>
      </c>
      <c r="G11" t="str">
        <f>_xlfn.XLOOKUP(C11,Salespeople!$A$2:$A$11,Salespeople!$D$2:$D$11)</f>
        <v>United States</v>
      </c>
      <c r="H11" s="3">
        <v>20</v>
      </c>
      <c r="I11" s="5">
        <f>_xlfn.XLOOKUP($D11,Products!$A$2:$A$16,Products!$D$2:$D$16)</f>
        <v>110</v>
      </c>
      <c r="J11" s="5">
        <f>_xlfn.XLOOKUP(Sales!$D11,Products!$A$2:$A$16,Products!$E$2:$E$16)</f>
        <v>55</v>
      </c>
      <c r="K11" s="8" cm="1">
        <f t="array" ref="K11">_xlfn.IFS(H11&lt;=5,0%,H11&lt;=10,5%,H11&lt;=15,10%,H11&lt;=20,15%,H11&gt;20,20%)</f>
        <v>0.15</v>
      </c>
      <c r="L11" s="6">
        <f t="shared" si="0"/>
        <v>1870</v>
      </c>
      <c r="M11" s="6" cm="1">
        <f t="array" ref="M11">L11*_xlfn.IFS(L11&lt;=5000,0.02,L11&lt;=15000,0.04,L11&gt;15000,0.06)</f>
        <v>37.4</v>
      </c>
      <c r="N11" s="6">
        <f t="shared" si="1"/>
        <v>770</v>
      </c>
      <c r="O11" s="8">
        <f t="shared" si="2"/>
        <v>0.41176470588235292</v>
      </c>
    </row>
    <row r="12" spans="1:15" x14ac:dyDescent="0.45">
      <c r="A12" t="s">
        <v>71</v>
      </c>
      <c r="B12" s="4">
        <v>45587</v>
      </c>
      <c r="C12" t="s">
        <v>51</v>
      </c>
      <c r="D12" t="s">
        <v>28</v>
      </c>
      <c r="E12" t="s">
        <v>23</v>
      </c>
      <c r="F12" t="str">
        <f>_xlfn.XLOOKUP(C12,Salespeople!$A$2:$A$11,Salespeople!$C$2:$C$11)</f>
        <v>Americas</v>
      </c>
      <c r="G12" t="str">
        <f>_xlfn.XLOOKUP(C12,Salespeople!$A$2:$A$11,Salespeople!$D$2:$D$11)</f>
        <v>Mexico</v>
      </c>
      <c r="H12" s="3">
        <v>2</v>
      </c>
      <c r="I12" s="5">
        <f>_xlfn.XLOOKUP($D12,Products!$A$2:$A$16,Products!$D$2:$D$16)</f>
        <v>95</v>
      </c>
      <c r="J12" s="5">
        <f>_xlfn.XLOOKUP(Sales!$D12,Products!$A$2:$A$16,Products!$E$2:$E$16)</f>
        <v>44</v>
      </c>
      <c r="K12" s="8" cm="1">
        <f t="array" ref="K12">_xlfn.IFS(H12&lt;=5,0%,H12&lt;=10,5%,H12&lt;=15,10%,H12&lt;=20,15%,H12&gt;20,20%)</f>
        <v>0</v>
      </c>
      <c r="L12" s="6">
        <f t="shared" si="0"/>
        <v>190</v>
      </c>
      <c r="M12" s="6" cm="1">
        <f t="array" ref="M12">L12*_xlfn.IFS(L12&lt;=5000,0.02,L12&lt;=15000,0.04,L12&gt;15000,0.06)</f>
        <v>3.8000000000000003</v>
      </c>
      <c r="N12" s="6">
        <f t="shared" si="1"/>
        <v>102</v>
      </c>
      <c r="O12" s="8">
        <f t="shared" si="2"/>
        <v>0.5368421052631579</v>
      </c>
    </row>
    <row r="13" spans="1:15" x14ac:dyDescent="0.45">
      <c r="A13" t="s">
        <v>72</v>
      </c>
      <c r="B13" s="4">
        <v>45440</v>
      </c>
      <c r="C13" t="s">
        <v>17</v>
      </c>
      <c r="D13" t="s">
        <v>68</v>
      </c>
      <c r="E13" t="s">
        <v>23</v>
      </c>
      <c r="F13" t="str">
        <f>_xlfn.XLOOKUP(C13,Salespeople!$A$2:$A$11,Salespeople!$C$2:$C$11)</f>
        <v>EMEA</v>
      </c>
      <c r="G13" t="str">
        <f>_xlfn.XLOOKUP(C13,Salespeople!$A$2:$A$11,Salespeople!$D$2:$D$11)</f>
        <v>Portugal</v>
      </c>
      <c r="H13" s="3">
        <v>4</v>
      </c>
      <c r="I13" s="5">
        <f>_xlfn.XLOOKUP($D13,Products!$A$2:$A$16,Products!$D$2:$D$16)</f>
        <v>110</v>
      </c>
      <c r="J13" s="5">
        <f>_xlfn.XLOOKUP(Sales!$D13,Products!$A$2:$A$16,Products!$E$2:$E$16)</f>
        <v>55</v>
      </c>
      <c r="K13" s="8" cm="1">
        <f t="array" ref="K13">_xlfn.IFS(H13&lt;=5,0%,H13&lt;=10,5%,H13&lt;=15,10%,H13&lt;=20,15%,H13&gt;20,20%)</f>
        <v>0</v>
      </c>
      <c r="L13" s="6">
        <f t="shared" si="0"/>
        <v>440</v>
      </c>
      <c r="M13" s="6" cm="1">
        <f t="array" ref="M13">L13*_xlfn.IFS(L13&lt;=5000,0.02,L13&lt;=15000,0.04,L13&gt;15000,0.06)</f>
        <v>8.8000000000000007</v>
      </c>
      <c r="N13" s="6">
        <f t="shared" si="1"/>
        <v>220</v>
      </c>
      <c r="O13" s="8">
        <f t="shared" si="2"/>
        <v>0.5</v>
      </c>
    </row>
    <row r="14" spans="1:15" x14ac:dyDescent="0.45">
      <c r="A14" t="s">
        <v>73</v>
      </c>
      <c r="B14" s="4">
        <v>45434</v>
      </c>
      <c r="C14" t="s">
        <v>60</v>
      </c>
      <c r="D14" t="s">
        <v>74</v>
      </c>
      <c r="E14" t="s">
        <v>48</v>
      </c>
      <c r="F14" t="str">
        <f>_xlfn.XLOOKUP(C14,Salespeople!$A$2:$A$11,Salespeople!$C$2:$C$11)</f>
        <v>APAC</v>
      </c>
      <c r="G14" t="str">
        <f>_xlfn.XLOOKUP(C14,Salespeople!$A$2:$A$11,Salespeople!$D$2:$D$11)</f>
        <v>Japan</v>
      </c>
      <c r="H14" s="3">
        <v>6</v>
      </c>
      <c r="I14" s="5">
        <f>_xlfn.XLOOKUP($D14,Products!$A$2:$A$16,Products!$D$2:$D$16)</f>
        <v>210</v>
      </c>
      <c r="J14" s="5">
        <f>_xlfn.XLOOKUP(Sales!$D14,Products!$A$2:$A$16,Products!$E$2:$E$16)</f>
        <v>120</v>
      </c>
      <c r="K14" s="8" cm="1">
        <f t="array" ref="K14">_xlfn.IFS(H14&lt;=5,0%,H14&lt;=10,5%,H14&lt;=15,10%,H14&lt;=20,15%,H14&gt;20,20%)</f>
        <v>0.05</v>
      </c>
      <c r="L14" s="6">
        <f t="shared" si="0"/>
        <v>1197</v>
      </c>
      <c r="M14" s="6" cm="1">
        <f t="array" ref="M14">L14*_xlfn.IFS(L14&lt;=5000,0.02,L14&lt;=15000,0.04,L14&gt;15000,0.06)</f>
        <v>23.94</v>
      </c>
      <c r="N14" s="6">
        <f t="shared" si="1"/>
        <v>477</v>
      </c>
      <c r="O14" s="8">
        <f t="shared" si="2"/>
        <v>0.39849624060150374</v>
      </c>
    </row>
    <row r="15" spans="1:15" x14ac:dyDescent="0.45">
      <c r="A15" t="s">
        <v>76</v>
      </c>
      <c r="B15" s="4">
        <v>45473</v>
      </c>
      <c r="C15" t="s">
        <v>51</v>
      </c>
      <c r="D15" t="s">
        <v>74</v>
      </c>
      <c r="E15" t="s">
        <v>48</v>
      </c>
      <c r="F15" t="str">
        <f>_xlfn.XLOOKUP(C15,Salespeople!$A$2:$A$11,Salespeople!$C$2:$C$11)</f>
        <v>Americas</v>
      </c>
      <c r="G15" t="str">
        <f>_xlfn.XLOOKUP(C15,Salespeople!$A$2:$A$11,Salespeople!$D$2:$D$11)</f>
        <v>Mexico</v>
      </c>
      <c r="H15" s="3">
        <v>23</v>
      </c>
      <c r="I15" s="5">
        <f>_xlfn.XLOOKUP($D15,Products!$A$2:$A$16,Products!$D$2:$D$16)</f>
        <v>210</v>
      </c>
      <c r="J15" s="5">
        <f>_xlfn.XLOOKUP(Sales!$D15,Products!$A$2:$A$16,Products!$E$2:$E$16)</f>
        <v>120</v>
      </c>
      <c r="K15" s="8" cm="1">
        <f t="array" ref="K15">_xlfn.IFS(H15&lt;=5,0%,H15&lt;=10,5%,H15&lt;=15,10%,H15&lt;=20,15%,H15&gt;20,20%)</f>
        <v>0.2</v>
      </c>
      <c r="L15" s="6">
        <f t="shared" si="0"/>
        <v>3864</v>
      </c>
      <c r="M15" s="6" cm="1">
        <f t="array" ref="M15">L15*_xlfn.IFS(L15&lt;=5000,0.02,L15&lt;=15000,0.04,L15&gt;15000,0.06)</f>
        <v>77.28</v>
      </c>
      <c r="N15" s="6">
        <f t="shared" si="1"/>
        <v>1104</v>
      </c>
      <c r="O15" s="8">
        <f t="shared" si="2"/>
        <v>0.2857142857142857</v>
      </c>
    </row>
    <row r="16" spans="1:15" x14ac:dyDescent="0.45">
      <c r="A16" t="s">
        <v>77</v>
      </c>
      <c r="B16" s="4">
        <v>45603</v>
      </c>
      <c r="C16" t="s">
        <v>26</v>
      </c>
      <c r="D16" t="s">
        <v>62</v>
      </c>
      <c r="E16" t="s">
        <v>14</v>
      </c>
      <c r="F16" t="str">
        <f>_xlfn.XLOOKUP(C16,Salespeople!$A$2:$A$11,Salespeople!$C$2:$C$11)</f>
        <v>APAC</v>
      </c>
      <c r="G16" t="str">
        <f>_xlfn.XLOOKUP(C16,Salespeople!$A$2:$A$11,Salespeople!$D$2:$D$11)</f>
        <v>Singapore</v>
      </c>
      <c r="H16" s="3">
        <v>8</v>
      </c>
      <c r="I16" s="5">
        <f>_xlfn.XLOOKUP($D16,Products!$A$2:$A$16,Products!$D$2:$D$16)</f>
        <v>1750</v>
      </c>
      <c r="J16" s="5">
        <f>_xlfn.XLOOKUP(Sales!$D16,Products!$A$2:$A$16,Products!$E$2:$E$16)</f>
        <v>1300</v>
      </c>
      <c r="K16" s="8" cm="1">
        <f t="array" ref="K16">_xlfn.IFS(H16&lt;=5,0%,H16&lt;=10,5%,H16&lt;=15,10%,H16&lt;=20,15%,H16&gt;20,20%)</f>
        <v>0.05</v>
      </c>
      <c r="L16" s="6">
        <f t="shared" si="0"/>
        <v>13300</v>
      </c>
      <c r="M16" s="6" cm="1">
        <f t="array" ref="M16">L16*_xlfn.IFS(L16&lt;=5000,0.02,L16&lt;=15000,0.04,L16&gt;15000,0.06)</f>
        <v>532</v>
      </c>
      <c r="N16" s="6">
        <f t="shared" si="1"/>
        <v>2900</v>
      </c>
      <c r="O16" s="8">
        <f t="shared" si="2"/>
        <v>0.21804511278195488</v>
      </c>
    </row>
    <row r="17" spans="1:15" x14ac:dyDescent="0.45">
      <c r="A17" t="s">
        <v>78</v>
      </c>
      <c r="B17" s="4">
        <v>45528</v>
      </c>
      <c r="C17" t="s">
        <v>33</v>
      </c>
      <c r="D17" t="s">
        <v>79</v>
      </c>
      <c r="E17" t="s">
        <v>14</v>
      </c>
      <c r="F17" t="str">
        <f>_xlfn.XLOOKUP(C17,Salespeople!$A$2:$A$11,Salespeople!$C$2:$C$11)</f>
        <v>EMEA</v>
      </c>
      <c r="G17" t="str">
        <f>_xlfn.XLOOKUP(C17,Salespeople!$A$2:$A$11,Salespeople!$D$2:$D$11)</f>
        <v>Kenya</v>
      </c>
      <c r="H17" s="3">
        <v>23</v>
      </c>
      <c r="I17" s="5">
        <f>_xlfn.XLOOKUP($D17,Products!$A$2:$A$16,Products!$D$2:$D$16)</f>
        <v>240</v>
      </c>
      <c r="J17" s="5">
        <f>_xlfn.XLOOKUP(Sales!$D17,Products!$A$2:$A$16,Products!$E$2:$E$16)</f>
        <v>150</v>
      </c>
      <c r="K17" s="8" cm="1">
        <f t="array" ref="K17">_xlfn.IFS(H17&lt;=5,0%,H17&lt;=10,5%,H17&lt;=15,10%,H17&lt;=20,15%,H17&gt;20,20%)</f>
        <v>0.2</v>
      </c>
      <c r="L17" s="6">
        <f t="shared" si="0"/>
        <v>4416</v>
      </c>
      <c r="M17" s="6" cm="1">
        <f t="array" ref="M17">L17*_xlfn.IFS(L17&lt;=5000,0.02,L17&lt;=15000,0.04,L17&gt;15000,0.06)</f>
        <v>88.320000000000007</v>
      </c>
      <c r="N17" s="6">
        <f t="shared" si="1"/>
        <v>966</v>
      </c>
      <c r="O17" s="8">
        <f t="shared" si="2"/>
        <v>0.21875</v>
      </c>
    </row>
    <row r="18" spans="1:15" x14ac:dyDescent="0.45">
      <c r="A18" t="s">
        <v>81</v>
      </c>
      <c r="B18" s="4">
        <v>45642</v>
      </c>
      <c r="C18" t="s">
        <v>83</v>
      </c>
      <c r="D18" t="s">
        <v>68</v>
      </c>
      <c r="E18" t="s">
        <v>23</v>
      </c>
      <c r="F18" t="str">
        <f>_xlfn.XLOOKUP(C18,Salespeople!$A$2:$A$11,Salespeople!$C$2:$C$11)</f>
        <v>EMEA</v>
      </c>
      <c r="G18" t="str">
        <f>_xlfn.XLOOKUP(C18,Salespeople!$A$2:$A$11,Salespeople!$D$2:$D$11)</f>
        <v>United Arab Emirates</v>
      </c>
      <c r="H18" s="3">
        <v>8</v>
      </c>
      <c r="I18" s="5">
        <f>_xlfn.XLOOKUP($D18,Products!$A$2:$A$16,Products!$D$2:$D$16)</f>
        <v>110</v>
      </c>
      <c r="J18" s="5">
        <f>_xlfn.XLOOKUP(Sales!$D18,Products!$A$2:$A$16,Products!$E$2:$E$16)</f>
        <v>55</v>
      </c>
      <c r="K18" s="8" cm="1">
        <f t="array" ref="K18">_xlfn.IFS(H18&lt;=5,0%,H18&lt;=10,5%,H18&lt;=15,10%,H18&lt;=20,15%,H18&gt;20,20%)</f>
        <v>0.05</v>
      </c>
      <c r="L18" s="6">
        <f t="shared" si="0"/>
        <v>836</v>
      </c>
      <c r="M18" s="6" cm="1">
        <f t="array" ref="M18">L18*_xlfn.IFS(L18&lt;=5000,0.02,L18&lt;=15000,0.04,L18&gt;15000,0.06)</f>
        <v>16.72</v>
      </c>
      <c r="N18" s="6">
        <f t="shared" si="1"/>
        <v>396</v>
      </c>
      <c r="O18" s="8">
        <f t="shared" si="2"/>
        <v>0.47368421052631576</v>
      </c>
    </row>
    <row r="19" spans="1:15" x14ac:dyDescent="0.45">
      <c r="A19" t="s">
        <v>85</v>
      </c>
      <c r="B19" s="4">
        <v>45453</v>
      </c>
      <c r="C19" t="s">
        <v>33</v>
      </c>
      <c r="D19" t="s">
        <v>79</v>
      </c>
      <c r="E19" t="s">
        <v>23</v>
      </c>
      <c r="F19" t="str">
        <f>_xlfn.XLOOKUP(C19,Salespeople!$A$2:$A$11,Salespeople!$C$2:$C$11)</f>
        <v>EMEA</v>
      </c>
      <c r="G19" t="str">
        <f>_xlfn.XLOOKUP(C19,Salespeople!$A$2:$A$11,Salespeople!$D$2:$D$11)</f>
        <v>Kenya</v>
      </c>
      <c r="H19" s="3">
        <v>7</v>
      </c>
      <c r="I19" s="5">
        <f>_xlfn.XLOOKUP($D19,Products!$A$2:$A$16,Products!$D$2:$D$16)</f>
        <v>240</v>
      </c>
      <c r="J19" s="5">
        <f>_xlfn.XLOOKUP(Sales!$D19,Products!$A$2:$A$16,Products!$E$2:$E$16)</f>
        <v>150</v>
      </c>
      <c r="K19" s="8" cm="1">
        <f t="array" ref="K19">_xlfn.IFS(H19&lt;=5,0%,H19&lt;=10,5%,H19&lt;=15,10%,H19&lt;=20,15%,H19&gt;20,20%)</f>
        <v>0.05</v>
      </c>
      <c r="L19" s="6">
        <f t="shared" si="0"/>
        <v>1596</v>
      </c>
      <c r="M19" s="6" cm="1">
        <f t="array" ref="M19">L19*_xlfn.IFS(L19&lt;=5000,0.02,L19&lt;=15000,0.04,L19&gt;15000,0.06)</f>
        <v>31.92</v>
      </c>
      <c r="N19" s="6">
        <f t="shared" si="1"/>
        <v>546</v>
      </c>
      <c r="O19" s="8">
        <f t="shared" si="2"/>
        <v>0.34210526315789475</v>
      </c>
    </row>
    <row r="20" spans="1:15" x14ac:dyDescent="0.45">
      <c r="A20" t="s">
        <v>86</v>
      </c>
      <c r="B20" s="4">
        <v>45400</v>
      </c>
      <c r="C20" t="s">
        <v>60</v>
      </c>
      <c r="D20" t="s">
        <v>44</v>
      </c>
      <c r="E20" t="s">
        <v>14</v>
      </c>
      <c r="F20" t="str">
        <f>_xlfn.XLOOKUP(C20,Salespeople!$A$2:$A$11,Salespeople!$C$2:$C$11)</f>
        <v>APAC</v>
      </c>
      <c r="G20" t="str">
        <f>_xlfn.XLOOKUP(C20,Salespeople!$A$2:$A$11,Salespeople!$D$2:$D$11)</f>
        <v>Japan</v>
      </c>
      <c r="H20" s="3">
        <v>15</v>
      </c>
      <c r="I20" s="5">
        <f>_xlfn.XLOOKUP($D20,Products!$A$2:$A$16,Products!$D$2:$D$16)</f>
        <v>180</v>
      </c>
      <c r="J20" s="5">
        <f>_xlfn.XLOOKUP(Sales!$D20,Products!$A$2:$A$16,Products!$E$2:$E$16)</f>
        <v>105</v>
      </c>
      <c r="K20" s="8" cm="1">
        <f t="array" ref="K20">_xlfn.IFS(H20&lt;=5,0%,H20&lt;=10,5%,H20&lt;=15,10%,H20&lt;=20,15%,H20&gt;20,20%)</f>
        <v>0.1</v>
      </c>
      <c r="L20" s="6">
        <f t="shared" si="0"/>
        <v>2430</v>
      </c>
      <c r="M20" s="6" cm="1">
        <f t="array" ref="M20">L20*_xlfn.IFS(L20&lt;=5000,0.02,L20&lt;=15000,0.04,L20&gt;15000,0.06)</f>
        <v>48.6</v>
      </c>
      <c r="N20" s="6">
        <f t="shared" si="1"/>
        <v>855</v>
      </c>
      <c r="O20" s="8">
        <f t="shared" si="2"/>
        <v>0.35185185185185186</v>
      </c>
    </row>
    <row r="21" spans="1:15" x14ac:dyDescent="0.45">
      <c r="A21" t="s">
        <v>87</v>
      </c>
      <c r="B21" s="4">
        <v>45427</v>
      </c>
      <c r="C21" t="s">
        <v>26</v>
      </c>
      <c r="D21" t="s">
        <v>88</v>
      </c>
      <c r="E21" t="s">
        <v>14</v>
      </c>
      <c r="F21" t="str">
        <f>_xlfn.XLOOKUP(C21,Salespeople!$A$2:$A$11,Salespeople!$C$2:$C$11)</f>
        <v>APAC</v>
      </c>
      <c r="G21" t="str">
        <f>_xlfn.XLOOKUP(C21,Salespeople!$A$2:$A$11,Salespeople!$D$2:$D$11)</f>
        <v>Singapore</v>
      </c>
      <c r="H21" s="3">
        <v>18</v>
      </c>
      <c r="I21" s="5">
        <f>_xlfn.XLOOKUP($D21,Products!$A$2:$A$16,Products!$D$2:$D$16)</f>
        <v>35</v>
      </c>
      <c r="J21" s="5">
        <f>_xlfn.XLOOKUP(Sales!$D21,Products!$A$2:$A$16,Products!$E$2:$E$16)</f>
        <v>14</v>
      </c>
      <c r="K21" s="8" cm="1">
        <f t="array" ref="K21">_xlfn.IFS(H21&lt;=5,0%,H21&lt;=10,5%,H21&lt;=15,10%,H21&lt;=20,15%,H21&gt;20,20%)</f>
        <v>0.15</v>
      </c>
      <c r="L21" s="6">
        <f t="shared" si="0"/>
        <v>535.5</v>
      </c>
      <c r="M21" s="6" cm="1">
        <f t="array" ref="M21">L21*_xlfn.IFS(L21&lt;=5000,0.02,L21&lt;=15000,0.04,L21&gt;15000,0.06)</f>
        <v>10.71</v>
      </c>
      <c r="N21" s="6">
        <f t="shared" si="1"/>
        <v>283.5</v>
      </c>
      <c r="O21" s="8">
        <f t="shared" si="2"/>
        <v>0.52941176470588236</v>
      </c>
    </row>
    <row r="22" spans="1:15" x14ac:dyDescent="0.45">
      <c r="A22" t="s">
        <v>90</v>
      </c>
      <c r="B22" s="4">
        <v>45591</v>
      </c>
      <c r="C22" t="s">
        <v>33</v>
      </c>
      <c r="D22" t="s">
        <v>91</v>
      </c>
      <c r="E22" t="s">
        <v>14</v>
      </c>
      <c r="F22" t="str">
        <f>_xlfn.XLOOKUP(C22,Salespeople!$A$2:$A$11,Salespeople!$C$2:$C$11)</f>
        <v>EMEA</v>
      </c>
      <c r="G22" t="str">
        <f>_xlfn.XLOOKUP(C22,Salespeople!$A$2:$A$11,Salespeople!$D$2:$D$11)</f>
        <v>Kenya</v>
      </c>
      <c r="H22" s="3">
        <v>13</v>
      </c>
      <c r="I22" s="5">
        <f>_xlfn.XLOOKUP($D22,Products!$A$2:$A$16,Products!$D$2:$D$16)</f>
        <v>160</v>
      </c>
      <c r="J22" s="5">
        <f>_xlfn.XLOOKUP(Sales!$D22,Products!$A$2:$A$16,Products!$E$2:$E$16)</f>
        <v>88</v>
      </c>
      <c r="K22" s="8" cm="1">
        <f t="array" ref="K22">_xlfn.IFS(H22&lt;=5,0%,H22&lt;=10,5%,H22&lt;=15,10%,H22&lt;=20,15%,H22&gt;20,20%)</f>
        <v>0.1</v>
      </c>
      <c r="L22" s="6">
        <f t="shared" si="0"/>
        <v>1872</v>
      </c>
      <c r="M22" s="6" cm="1">
        <f t="array" ref="M22">L22*_xlfn.IFS(L22&lt;=5000,0.02,L22&lt;=15000,0.04,L22&gt;15000,0.06)</f>
        <v>37.44</v>
      </c>
      <c r="N22" s="6">
        <f t="shared" si="1"/>
        <v>728</v>
      </c>
      <c r="O22" s="8">
        <f t="shared" si="2"/>
        <v>0.3888888888888889</v>
      </c>
    </row>
    <row r="23" spans="1:15" x14ac:dyDescent="0.45">
      <c r="A23" t="s">
        <v>93</v>
      </c>
      <c r="B23" s="4">
        <v>45404</v>
      </c>
      <c r="C23" t="s">
        <v>26</v>
      </c>
      <c r="D23" t="s">
        <v>62</v>
      </c>
      <c r="E23" t="s">
        <v>48</v>
      </c>
      <c r="F23" t="str">
        <f>_xlfn.XLOOKUP(C23,Salespeople!$A$2:$A$11,Salespeople!$C$2:$C$11)</f>
        <v>APAC</v>
      </c>
      <c r="G23" t="str">
        <f>_xlfn.XLOOKUP(C23,Salespeople!$A$2:$A$11,Salespeople!$D$2:$D$11)</f>
        <v>Singapore</v>
      </c>
      <c r="H23" s="3">
        <v>3</v>
      </c>
      <c r="I23" s="5">
        <f>_xlfn.XLOOKUP($D23,Products!$A$2:$A$16,Products!$D$2:$D$16)</f>
        <v>1750</v>
      </c>
      <c r="J23" s="5">
        <f>_xlfn.XLOOKUP(Sales!$D23,Products!$A$2:$A$16,Products!$E$2:$E$16)</f>
        <v>1300</v>
      </c>
      <c r="K23" s="8" cm="1">
        <f t="array" ref="K23">_xlfn.IFS(H23&lt;=5,0%,H23&lt;=10,5%,H23&lt;=15,10%,H23&lt;=20,15%,H23&gt;20,20%)</f>
        <v>0</v>
      </c>
      <c r="L23" s="6">
        <f t="shared" si="0"/>
        <v>5250</v>
      </c>
      <c r="M23" s="6" cm="1">
        <f t="array" ref="M23">L23*_xlfn.IFS(L23&lt;=5000,0.02,L23&lt;=15000,0.04,L23&gt;15000,0.06)</f>
        <v>210</v>
      </c>
      <c r="N23" s="6">
        <f t="shared" si="1"/>
        <v>1350</v>
      </c>
      <c r="O23" s="8">
        <f t="shared" si="2"/>
        <v>0.25714285714285712</v>
      </c>
    </row>
    <row r="24" spans="1:15" x14ac:dyDescent="0.45">
      <c r="A24" t="s">
        <v>94</v>
      </c>
      <c r="B24" s="4">
        <v>45348</v>
      </c>
      <c r="C24" t="s">
        <v>26</v>
      </c>
      <c r="D24" t="s">
        <v>74</v>
      </c>
      <c r="E24" t="s">
        <v>23</v>
      </c>
      <c r="F24" t="str">
        <f>_xlfn.XLOOKUP(C24,Salespeople!$A$2:$A$11,Salespeople!$C$2:$C$11)</f>
        <v>APAC</v>
      </c>
      <c r="G24" t="str">
        <f>_xlfn.XLOOKUP(C24,Salespeople!$A$2:$A$11,Salespeople!$D$2:$D$11)</f>
        <v>Singapore</v>
      </c>
      <c r="H24" s="3">
        <v>22</v>
      </c>
      <c r="I24" s="5">
        <f>_xlfn.XLOOKUP($D24,Products!$A$2:$A$16,Products!$D$2:$D$16)</f>
        <v>210</v>
      </c>
      <c r="J24" s="5">
        <f>_xlfn.XLOOKUP(Sales!$D24,Products!$A$2:$A$16,Products!$E$2:$E$16)</f>
        <v>120</v>
      </c>
      <c r="K24" s="8" cm="1">
        <f t="array" ref="K24">_xlfn.IFS(H24&lt;=5,0%,H24&lt;=10,5%,H24&lt;=15,10%,H24&lt;=20,15%,H24&gt;20,20%)</f>
        <v>0.2</v>
      </c>
      <c r="L24" s="6">
        <f t="shared" si="0"/>
        <v>3696</v>
      </c>
      <c r="M24" s="6" cm="1">
        <f t="array" ref="M24">L24*_xlfn.IFS(L24&lt;=5000,0.02,L24&lt;=15000,0.04,L24&gt;15000,0.06)</f>
        <v>73.92</v>
      </c>
      <c r="N24" s="6">
        <f t="shared" si="1"/>
        <v>1056</v>
      </c>
      <c r="O24" s="8">
        <f t="shared" si="2"/>
        <v>0.2857142857142857</v>
      </c>
    </row>
    <row r="25" spans="1:15" x14ac:dyDescent="0.45">
      <c r="A25" t="s">
        <v>95</v>
      </c>
      <c r="B25" s="4">
        <v>45597</v>
      </c>
      <c r="C25" t="s">
        <v>17</v>
      </c>
      <c r="D25" t="s">
        <v>44</v>
      </c>
      <c r="E25" t="s">
        <v>48</v>
      </c>
      <c r="F25" t="str">
        <f>_xlfn.XLOOKUP(C25,Salespeople!$A$2:$A$11,Salespeople!$C$2:$C$11)</f>
        <v>EMEA</v>
      </c>
      <c r="G25" t="str">
        <f>_xlfn.XLOOKUP(C25,Salespeople!$A$2:$A$11,Salespeople!$D$2:$D$11)</f>
        <v>Portugal</v>
      </c>
      <c r="H25" s="3">
        <v>20</v>
      </c>
      <c r="I25" s="5">
        <f>_xlfn.XLOOKUP($D25,Products!$A$2:$A$16,Products!$D$2:$D$16)</f>
        <v>180</v>
      </c>
      <c r="J25" s="5">
        <f>_xlfn.XLOOKUP(Sales!$D25,Products!$A$2:$A$16,Products!$E$2:$E$16)</f>
        <v>105</v>
      </c>
      <c r="K25" s="8" cm="1">
        <f t="array" ref="K25">_xlfn.IFS(H25&lt;=5,0%,H25&lt;=10,5%,H25&lt;=15,10%,H25&lt;=20,15%,H25&gt;20,20%)</f>
        <v>0.15</v>
      </c>
      <c r="L25" s="6">
        <f t="shared" si="0"/>
        <v>3060</v>
      </c>
      <c r="M25" s="6" cm="1">
        <f t="array" ref="M25">L25*_xlfn.IFS(L25&lt;=5000,0.02,L25&lt;=15000,0.04,L25&gt;15000,0.06)</f>
        <v>61.2</v>
      </c>
      <c r="N25" s="6">
        <f t="shared" si="1"/>
        <v>960</v>
      </c>
      <c r="O25" s="8">
        <f t="shared" si="2"/>
        <v>0.31372549019607843</v>
      </c>
    </row>
    <row r="26" spans="1:15" x14ac:dyDescent="0.45">
      <c r="A26" t="s">
        <v>96</v>
      </c>
      <c r="B26" s="4">
        <v>45562</v>
      </c>
      <c r="C26" t="s">
        <v>66</v>
      </c>
      <c r="D26" t="s">
        <v>62</v>
      </c>
      <c r="E26" t="s">
        <v>23</v>
      </c>
      <c r="F26" t="str">
        <f>_xlfn.XLOOKUP(C26,Salespeople!$A$2:$A$11,Salespeople!$C$2:$C$11)</f>
        <v>Americas</v>
      </c>
      <c r="G26" t="str">
        <f>_xlfn.XLOOKUP(C26,Salespeople!$A$2:$A$11,Salespeople!$D$2:$D$11)</f>
        <v>United States</v>
      </c>
      <c r="H26" s="3">
        <v>22</v>
      </c>
      <c r="I26" s="5">
        <f>_xlfn.XLOOKUP($D26,Products!$A$2:$A$16,Products!$D$2:$D$16)</f>
        <v>1750</v>
      </c>
      <c r="J26" s="5">
        <f>_xlfn.XLOOKUP(Sales!$D26,Products!$A$2:$A$16,Products!$E$2:$E$16)</f>
        <v>1300</v>
      </c>
      <c r="K26" s="8" cm="1">
        <f t="array" ref="K26">_xlfn.IFS(H26&lt;=5,0%,H26&lt;=10,5%,H26&lt;=15,10%,H26&lt;=20,15%,H26&gt;20,20%)</f>
        <v>0.2</v>
      </c>
      <c r="L26" s="6">
        <f t="shared" si="0"/>
        <v>30800</v>
      </c>
      <c r="M26" s="6" cm="1">
        <f t="array" ref="M26">L26*_xlfn.IFS(L26&lt;=5000,0.02,L26&lt;=15000,0.04,L26&gt;15000,0.06)</f>
        <v>1848</v>
      </c>
      <c r="N26" s="6">
        <f t="shared" si="1"/>
        <v>2200</v>
      </c>
      <c r="O26" s="8">
        <f t="shared" si="2"/>
        <v>7.1428571428571425E-2</v>
      </c>
    </row>
    <row r="27" spans="1:15" x14ac:dyDescent="0.45">
      <c r="A27" t="s">
        <v>97</v>
      </c>
      <c r="B27" s="4">
        <v>45641</v>
      </c>
      <c r="C27" t="s">
        <v>38</v>
      </c>
      <c r="D27" t="s">
        <v>53</v>
      </c>
      <c r="E27" t="s">
        <v>48</v>
      </c>
      <c r="F27" t="str">
        <f>_xlfn.XLOOKUP(C27,Salespeople!$A$2:$A$11,Salespeople!$C$2:$C$11)</f>
        <v>Americas</v>
      </c>
      <c r="G27" t="str">
        <f>_xlfn.XLOOKUP(C27,Salespeople!$A$2:$A$11,Salespeople!$D$2:$D$11)</f>
        <v>Brazil</v>
      </c>
      <c r="H27" s="3">
        <v>25</v>
      </c>
      <c r="I27" s="5">
        <f>_xlfn.XLOOKUP($D27,Products!$A$2:$A$16,Products!$D$2:$D$16)</f>
        <v>130</v>
      </c>
      <c r="J27" s="5">
        <f>_xlfn.XLOOKUP(Sales!$D27,Products!$A$2:$A$16,Products!$E$2:$E$16)</f>
        <v>62</v>
      </c>
      <c r="K27" s="8" cm="1">
        <f t="array" ref="K27">_xlfn.IFS(H27&lt;=5,0%,H27&lt;=10,5%,H27&lt;=15,10%,H27&lt;=20,15%,H27&gt;20,20%)</f>
        <v>0.2</v>
      </c>
      <c r="L27" s="6">
        <f t="shared" si="0"/>
        <v>2600</v>
      </c>
      <c r="M27" s="6" cm="1">
        <f t="array" ref="M27">L27*_xlfn.IFS(L27&lt;=5000,0.02,L27&lt;=15000,0.04,L27&gt;15000,0.06)</f>
        <v>52</v>
      </c>
      <c r="N27" s="6">
        <f t="shared" si="1"/>
        <v>1050</v>
      </c>
      <c r="O27" s="8">
        <f t="shared" si="2"/>
        <v>0.40384615384615385</v>
      </c>
    </row>
    <row r="28" spans="1:15" x14ac:dyDescent="0.45">
      <c r="A28" t="s">
        <v>98</v>
      </c>
      <c r="B28" s="4">
        <v>45349</v>
      </c>
      <c r="C28" t="s">
        <v>66</v>
      </c>
      <c r="D28" t="s">
        <v>44</v>
      </c>
      <c r="E28" t="s">
        <v>23</v>
      </c>
      <c r="F28" t="str">
        <f>_xlfn.XLOOKUP(C28,Salespeople!$A$2:$A$11,Salespeople!$C$2:$C$11)</f>
        <v>Americas</v>
      </c>
      <c r="G28" t="str">
        <f>_xlfn.XLOOKUP(C28,Salespeople!$A$2:$A$11,Salespeople!$D$2:$D$11)</f>
        <v>United States</v>
      </c>
      <c r="H28" s="3">
        <v>15</v>
      </c>
      <c r="I28" s="5">
        <f>_xlfn.XLOOKUP($D28,Products!$A$2:$A$16,Products!$D$2:$D$16)</f>
        <v>180</v>
      </c>
      <c r="J28" s="5">
        <f>_xlfn.XLOOKUP(Sales!$D28,Products!$A$2:$A$16,Products!$E$2:$E$16)</f>
        <v>105</v>
      </c>
      <c r="K28" s="8" cm="1">
        <f t="array" ref="K28">_xlfn.IFS(H28&lt;=5,0%,H28&lt;=10,5%,H28&lt;=15,10%,H28&lt;=20,15%,H28&gt;20,20%)</f>
        <v>0.1</v>
      </c>
      <c r="L28" s="6">
        <f t="shared" si="0"/>
        <v>2430</v>
      </c>
      <c r="M28" s="6" cm="1">
        <f t="array" ref="M28">L28*_xlfn.IFS(L28&lt;=5000,0.02,L28&lt;=15000,0.04,L28&gt;15000,0.06)</f>
        <v>48.6</v>
      </c>
      <c r="N28" s="6">
        <f t="shared" si="1"/>
        <v>855</v>
      </c>
      <c r="O28" s="8">
        <f t="shared" si="2"/>
        <v>0.35185185185185186</v>
      </c>
    </row>
    <row r="29" spans="1:15" x14ac:dyDescent="0.45">
      <c r="A29" t="s">
        <v>99</v>
      </c>
      <c r="B29" s="4">
        <v>45426</v>
      </c>
      <c r="C29" t="s">
        <v>38</v>
      </c>
      <c r="D29" t="s">
        <v>53</v>
      </c>
      <c r="E29" t="s">
        <v>23</v>
      </c>
      <c r="F29" t="str">
        <f>_xlfn.XLOOKUP(C29,Salespeople!$A$2:$A$11,Salespeople!$C$2:$C$11)</f>
        <v>Americas</v>
      </c>
      <c r="G29" t="str">
        <f>_xlfn.XLOOKUP(C29,Salespeople!$A$2:$A$11,Salespeople!$D$2:$D$11)</f>
        <v>Brazil</v>
      </c>
      <c r="H29" s="3">
        <v>17</v>
      </c>
      <c r="I29" s="5">
        <f>_xlfn.XLOOKUP($D29,Products!$A$2:$A$16,Products!$D$2:$D$16)</f>
        <v>130</v>
      </c>
      <c r="J29" s="5">
        <f>_xlfn.XLOOKUP(Sales!$D29,Products!$A$2:$A$16,Products!$E$2:$E$16)</f>
        <v>62</v>
      </c>
      <c r="K29" s="8" cm="1">
        <f t="array" ref="K29">_xlfn.IFS(H29&lt;=5,0%,H29&lt;=10,5%,H29&lt;=15,10%,H29&lt;=20,15%,H29&gt;20,20%)</f>
        <v>0.15</v>
      </c>
      <c r="L29" s="6">
        <f t="shared" si="0"/>
        <v>1878.5</v>
      </c>
      <c r="M29" s="6" cm="1">
        <f t="array" ref="M29">L29*_xlfn.IFS(L29&lt;=5000,0.02,L29&lt;=15000,0.04,L29&gt;15000,0.06)</f>
        <v>37.57</v>
      </c>
      <c r="N29" s="6">
        <f t="shared" si="1"/>
        <v>824.5</v>
      </c>
      <c r="O29" s="8">
        <f t="shared" si="2"/>
        <v>0.43891402714932126</v>
      </c>
    </row>
    <row r="30" spans="1:15" x14ac:dyDescent="0.45">
      <c r="A30" t="s">
        <v>100</v>
      </c>
      <c r="B30" s="4">
        <v>45612</v>
      </c>
      <c r="C30" t="s">
        <v>66</v>
      </c>
      <c r="D30" t="s">
        <v>68</v>
      </c>
      <c r="E30" t="s">
        <v>14</v>
      </c>
      <c r="F30" t="str">
        <f>_xlfn.XLOOKUP(C30,Salespeople!$A$2:$A$11,Salespeople!$C$2:$C$11)</f>
        <v>Americas</v>
      </c>
      <c r="G30" t="str">
        <f>_xlfn.XLOOKUP(C30,Salespeople!$A$2:$A$11,Salespeople!$D$2:$D$11)</f>
        <v>United States</v>
      </c>
      <c r="H30" s="3">
        <v>17</v>
      </c>
      <c r="I30" s="5">
        <f>_xlfn.XLOOKUP($D30,Products!$A$2:$A$16,Products!$D$2:$D$16)</f>
        <v>110</v>
      </c>
      <c r="J30" s="5">
        <f>_xlfn.XLOOKUP(Sales!$D30,Products!$A$2:$A$16,Products!$E$2:$E$16)</f>
        <v>55</v>
      </c>
      <c r="K30" s="8" cm="1">
        <f t="array" ref="K30">_xlfn.IFS(H30&lt;=5,0%,H30&lt;=10,5%,H30&lt;=15,10%,H30&lt;=20,15%,H30&gt;20,20%)</f>
        <v>0.15</v>
      </c>
      <c r="L30" s="6">
        <f t="shared" si="0"/>
        <v>1589.5</v>
      </c>
      <c r="M30" s="6" cm="1">
        <f t="array" ref="M30">L30*_xlfn.IFS(L30&lt;=5000,0.02,L30&lt;=15000,0.04,L30&gt;15000,0.06)</f>
        <v>31.79</v>
      </c>
      <c r="N30" s="6">
        <f t="shared" si="1"/>
        <v>654.5</v>
      </c>
      <c r="O30" s="8">
        <f t="shared" si="2"/>
        <v>0.41176470588235292</v>
      </c>
    </row>
    <row r="31" spans="1:15" x14ac:dyDescent="0.45">
      <c r="A31" t="s">
        <v>101</v>
      </c>
      <c r="B31" s="4">
        <v>45370</v>
      </c>
      <c r="C31" t="s">
        <v>83</v>
      </c>
      <c r="D31" t="s">
        <v>53</v>
      </c>
      <c r="E31" t="s">
        <v>23</v>
      </c>
      <c r="F31" t="str">
        <f>_xlfn.XLOOKUP(C31,Salespeople!$A$2:$A$11,Salespeople!$C$2:$C$11)</f>
        <v>EMEA</v>
      </c>
      <c r="G31" t="str">
        <f>_xlfn.XLOOKUP(C31,Salespeople!$A$2:$A$11,Salespeople!$D$2:$D$11)</f>
        <v>United Arab Emirates</v>
      </c>
      <c r="H31" s="3">
        <v>18</v>
      </c>
      <c r="I31" s="5">
        <f>_xlfn.XLOOKUP($D31,Products!$A$2:$A$16,Products!$D$2:$D$16)</f>
        <v>130</v>
      </c>
      <c r="J31" s="5">
        <f>_xlfn.XLOOKUP(Sales!$D31,Products!$A$2:$A$16,Products!$E$2:$E$16)</f>
        <v>62</v>
      </c>
      <c r="K31" s="8" cm="1">
        <f t="array" ref="K31">_xlfn.IFS(H31&lt;=5,0%,H31&lt;=10,5%,H31&lt;=15,10%,H31&lt;=20,15%,H31&gt;20,20%)</f>
        <v>0.15</v>
      </c>
      <c r="L31" s="6">
        <f t="shared" si="0"/>
        <v>1989</v>
      </c>
      <c r="M31" s="6" cm="1">
        <f t="array" ref="M31">L31*_xlfn.IFS(L31&lt;=5000,0.02,L31&lt;=15000,0.04,L31&gt;15000,0.06)</f>
        <v>39.78</v>
      </c>
      <c r="N31" s="6">
        <f t="shared" si="1"/>
        <v>873</v>
      </c>
      <c r="O31" s="8">
        <f t="shared" si="2"/>
        <v>0.43891402714932126</v>
      </c>
    </row>
    <row r="32" spans="1:15" x14ac:dyDescent="0.45">
      <c r="A32" t="s">
        <v>102</v>
      </c>
      <c r="B32" s="4">
        <v>45598</v>
      </c>
      <c r="C32" t="s">
        <v>83</v>
      </c>
      <c r="D32" t="s">
        <v>103</v>
      </c>
      <c r="E32" t="s">
        <v>23</v>
      </c>
      <c r="F32" t="str">
        <f>_xlfn.XLOOKUP(C32,Salespeople!$A$2:$A$11,Salespeople!$C$2:$C$11)</f>
        <v>EMEA</v>
      </c>
      <c r="G32" t="str">
        <f>_xlfn.XLOOKUP(C32,Salespeople!$A$2:$A$11,Salespeople!$D$2:$D$11)</f>
        <v>United Arab Emirates</v>
      </c>
      <c r="H32" s="3">
        <v>4</v>
      </c>
      <c r="I32" s="5">
        <f>_xlfn.XLOOKUP($D32,Products!$A$2:$A$16,Products!$D$2:$D$16)</f>
        <v>1150</v>
      </c>
      <c r="J32" s="5">
        <f>_xlfn.XLOOKUP(Sales!$D32,Products!$A$2:$A$16,Products!$E$2:$E$16)</f>
        <v>820</v>
      </c>
      <c r="K32" s="8" cm="1">
        <f t="array" ref="K32">_xlfn.IFS(H32&lt;=5,0%,H32&lt;=10,5%,H32&lt;=15,10%,H32&lt;=20,15%,H32&gt;20,20%)</f>
        <v>0</v>
      </c>
      <c r="L32" s="6">
        <f t="shared" si="0"/>
        <v>4600</v>
      </c>
      <c r="M32" s="6" cm="1">
        <f t="array" ref="M32">L32*_xlfn.IFS(L32&lt;=5000,0.02,L32&lt;=15000,0.04,L32&gt;15000,0.06)</f>
        <v>92</v>
      </c>
      <c r="N32" s="6">
        <f t="shared" si="1"/>
        <v>1320</v>
      </c>
      <c r="O32" s="8">
        <f t="shared" si="2"/>
        <v>0.28695652173913044</v>
      </c>
    </row>
    <row r="33" spans="1:15" x14ac:dyDescent="0.45">
      <c r="A33" t="s">
        <v>105</v>
      </c>
      <c r="B33" s="4">
        <v>45449</v>
      </c>
      <c r="C33" t="s">
        <v>51</v>
      </c>
      <c r="D33" t="s">
        <v>19</v>
      </c>
      <c r="E33" t="s">
        <v>23</v>
      </c>
      <c r="F33" t="str">
        <f>_xlfn.XLOOKUP(C33,Salespeople!$A$2:$A$11,Salespeople!$C$2:$C$11)</f>
        <v>Americas</v>
      </c>
      <c r="G33" t="str">
        <f>_xlfn.XLOOKUP(C33,Salespeople!$A$2:$A$11,Salespeople!$D$2:$D$11)</f>
        <v>Mexico</v>
      </c>
      <c r="H33" s="3">
        <v>19</v>
      </c>
      <c r="I33" s="5">
        <f>_xlfn.XLOOKUP($D33,Products!$A$2:$A$16,Products!$D$2:$D$16)</f>
        <v>25</v>
      </c>
      <c r="J33" s="5">
        <f>_xlfn.XLOOKUP(Sales!$D33,Products!$A$2:$A$16,Products!$E$2:$E$16)</f>
        <v>11</v>
      </c>
      <c r="K33" s="8" cm="1">
        <f t="array" ref="K33">_xlfn.IFS(H33&lt;=5,0%,H33&lt;=10,5%,H33&lt;=15,10%,H33&lt;=20,15%,H33&gt;20,20%)</f>
        <v>0.15</v>
      </c>
      <c r="L33" s="6">
        <f t="shared" si="0"/>
        <v>403.75</v>
      </c>
      <c r="M33" s="6" cm="1">
        <f t="array" ref="M33">L33*_xlfn.IFS(L33&lt;=5000,0.02,L33&lt;=15000,0.04,L33&gt;15000,0.06)</f>
        <v>8.0749999999999993</v>
      </c>
      <c r="N33" s="6">
        <f t="shared" si="1"/>
        <v>194.75</v>
      </c>
      <c r="O33" s="8">
        <f t="shared" si="2"/>
        <v>0.4823529411764706</v>
      </c>
    </row>
    <row r="34" spans="1:15" x14ac:dyDescent="0.45">
      <c r="A34" t="s">
        <v>106</v>
      </c>
      <c r="B34" s="4">
        <v>45335</v>
      </c>
      <c r="C34" t="s">
        <v>60</v>
      </c>
      <c r="D34" t="s">
        <v>68</v>
      </c>
      <c r="E34" t="s">
        <v>23</v>
      </c>
      <c r="F34" t="str">
        <f>_xlfn.XLOOKUP(C34,Salespeople!$A$2:$A$11,Salespeople!$C$2:$C$11)</f>
        <v>APAC</v>
      </c>
      <c r="G34" t="str">
        <f>_xlfn.XLOOKUP(C34,Salespeople!$A$2:$A$11,Salespeople!$D$2:$D$11)</f>
        <v>Japan</v>
      </c>
      <c r="H34" s="3">
        <v>25</v>
      </c>
      <c r="I34" s="5">
        <f>_xlfn.XLOOKUP($D34,Products!$A$2:$A$16,Products!$D$2:$D$16)</f>
        <v>110</v>
      </c>
      <c r="J34" s="5">
        <f>_xlfn.XLOOKUP(Sales!$D34,Products!$A$2:$A$16,Products!$E$2:$E$16)</f>
        <v>55</v>
      </c>
      <c r="K34" s="8" cm="1">
        <f t="array" ref="K34">_xlfn.IFS(H34&lt;=5,0%,H34&lt;=10,5%,H34&lt;=15,10%,H34&lt;=20,15%,H34&gt;20,20%)</f>
        <v>0.2</v>
      </c>
      <c r="L34" s="6">
        <f t="shared" si="0"/>
        <v>2200</v>
      </c>
      <c r="M34" s="6" cm="1">
        <f t="array" ref="M34">L34*_xlfn.IFS(L34&lt;=5000,0.02,L34&lt;=15000,0.04,L34&gt;15000,0.06)</f>
        <v>44</v>
      </c>
      <c r="N34" s="6">
        <f t="shared" si="1"/>
        <v>825</v>
      </c>
      <c r="O34" s="8">
        <f t="shared" si="2"/>
        <v>0.375</v>
      </c>
    </row>
    <row r="35" spans="1:15" x14ac:dyDescent="0.45">
      <c r="A35" t="s">
        <v>107</v>
      </c>
      <c r="B35" s="4">
        <v>45357</v>
      </c>
      <c r="C35" t="s">
        <v>60</v>
      </c>
      <c r="D35" t="s">
        <v>62</v>
      </c>
      <c r="E35" t="s">
        <v>23</v>
      </c>
      <c r="F35" t="str">
        <f>_xlfn.XLOOKUP(C35,Salespeople!$A$2:$A$11,Salespeople!$C$2:$C$11)</f>
        <v>APAC</v>
      </c>
      <c r="G35" t="str">
        <f>_xlfn.XLOOKUP(C35,Salespeople!$A$2:$A$11,Salespeople!$D$2:$D$11)</f>
        <v>Japan</v>
      </c>
      <c r="H35" s="3">
        <v>9</v>
      </c>
      <c r="I35" s="5">
        <f>_xlfn.XLOOKUP($D35,Products!$A$2:$A$16,Products!$D$2:$D$16)</f>
        <v>1750</v>
      </c>
      <c r="J35" s="5">
        <f>_xlfn.XLOOKUP(Sales!$D35,Products!$A$2:$A$16,Products!$E$2:$E$16)</f>
        <v>1300</v>
      </c>
      <c r="K35" s="8" cm="1">
        <f t="array" ref="K35">_xlfn.IFS(H35&lt;=5,0%,H35&lt;=10,5%,H35&lt;=15,10%,H35&lt;=20,15%,H35&gt;20,20%)</f>
        <v>0.05</v>
      </c>
      <c r="L35" s="6">
        <f t="shared" si="0"/>
        <v>14962.5</v>
      </c>
      <c r="M35" s="6" cm="1">
        <f t="array" ref="M35">L35*_xlfn.IFS(L35&lt;=5000,0.02,L35&lt;=15000,0.04,L35&gt;15000,0.06)</f>
        <v>598.5</v>
      </c>
      <c r="N35" s="6">
        <f t="shared" si="1"/>
        <v>3262.5</v>
      </c>
      <c r="O35" s="8">
        <f t="shared" si="2"/>
        <v>0.21804511278195488</v>
      </c>
    </row>
    <row r="36" spans="1:15" x14ac:dyDescent="0.45">
      <c r="A36" t="s">
        <v>108</v>
      </c>
      <c r="B36" s="4">
        <v>45400</v>
      </c>
      <c r="C36" t="s">
        <v>38</v>
      </c>
      <c r="D36" t="s">
        <v>53</v>
      </c>
      <c r="E36" t="s">
        <v>14</v>
      </c>
      <c r="F36" t="str">
        <f>_xlfn.XLOOKUP(C36,Salespeople!$A$2:$A$11,Salespeople!$C$2:$C$11)</f>
        <v>Americas</v>
      </c>
      <c r="G36" t="str">
        <f>_xlfn.XLOOKUP(C36,Salespeople!$A$2:$A$11,Salespeople!$D$2:$D$11)</f>
        <v>Brazil</v>
      </c>
      <c r="H36" s="3">
        <v>23</v>
      </c>
      <c r="I36" s="5">
        <f>_xlfn.XLOOKUP($D36,Products!$A$2:$A$16,Products!$D$2:$D$16)</f>
        <v>130</v>
      </c>
      <c r="J36" s="5">
        <f>_xlfn.XLOOKUP(Sales!$D36,Products!$A$2:$A$16,Products!$E$2:$E$16)</f>
        <v>62</v>
      </c>
      <c r="K36" s="8" cm="1">
        <f t="array" ref="K36">_xlfn.IFS(H36&lt;=5,0%,H36&lt;=10,5%,H36&lt;=15,10%,H36&lt;=20,15%,H36&gt;20,20%)</f>
        <v>0.2</v>
      </c>
      <c r="L36" s="6">
        <f t="shared" si="0"/>
        <v>2392</v>
      </c>
      <c r="M36" s="6" cm="1">
        <f t="array" ref="M36">L36*_xlfn.IFS(L36&lt;=5000,0.02,L36&lt;=15000,0.04,L36&gt;15000,0.06)</f>
        <v>47.84</v>
      </c>
      <c r="N36" s="6">
        <f t="shared" si="1"/>
        <v>966</v>
      </c>
      <c r="O36" s="8">
        <f t="shared" si="2"/>
        <v>0.40384615384615385</v>
      </c>
    </row>
    <row r="37" spans="1:15" x14ac:dyDescent="0.45">
      <c r="A37" t="s">
        <v>109</v>
      </c>
      <c r="B37" s="4">
        <v>45657</v>
      </c>
      <c r="C37" t="s">
        <v>66</v>
      </c>
      <c r="D37" t="s">
        <v>44</v>
      </c>
      <c r="E37" t="s">
        <v>14</v>
      </c>
      <c r="F37" t="str">
        <f>_xlfn.XLOOKUP(C37,Salespeople!$A$2:$A$11,Salespeople!$C$2:$C$11)</f>
        <v>Americas</v>
      </c>
      <c r="G37" t="str">
        <f>_xlfn.XLOOKUP(C37,Salespeople!$A$2:$A$11,Salespeople!$D$2:$D$11)</f>
        <v>United States</v>
      </c>
      <c r="H37" s="3">
        <v>21</v>
      </c>
      <c r="I37" s="5">
        <f>_xlfn.XLOOKUP($D37,Products!$A$2:$A$16,Products!$D$2:$D$16)</f>
        <v>180</v>
      </c>
      <c r="J37" s="5">
        <f>_xlfn.XLOOKUP(Sales!$D37,Products!$A$2:$A$16,Products!$E$2:$E$16)</f>
        <v>105</v>
      </c>
      <c r="K37" s="8" cm="1">
        <f t="array" ref="K37">_xlfn.IFS(H37&lt;=5,0%,H37&lt;=10,5%,H37&lt;=15,10%,H37&lt;=20,15%,H37&gt;20,20%)</f>
        <v>0.2</v>
      </c>
      <c r="L37" s="6">
        <f t="shared" si="0"/>
        <v>3024</v>
      </c>
      <c r="M37" s="6" cm="1">
        <f t="array" ref="M37">L37*_xlfn.IFS(L37&lt;=5000,0.02,L37&lt;=15000,0.04,L37&gt;15000,0.06)</f>
        <v>60.480000000000004</v>
      </c>
      <c r="N37" s="6">
        <f t="shared" si="1"/>
        <v>819</v>
      </c>
      <c r="O37" s="8">
        <f t="shared" si="2"/>
        <v>0.27083333333333331</v>
      </c>
    </row>
    <row r="38" spans="1:15" x14ac:dyDescent="0.45">
      <c r="A38" t="s">
        <v>110</v>
      </c>
      <c r="B38" s="4">
        <v>45516</v>
      </c>
      <c r="C38" t="s">
        <v>38</v>
      </c>
      <c r="D38" t="s">
        <v>103</v>
      </c>
      <c r="E38" t="s">
        <v>23</v>
      </c>
      <c r="F38" t="str">
        <f>_xlfn.XLOOKUP(C38,Salespeople!$A$2:$A$11,Salespeople!$C$2:$C$11)</f>
        <v>Americas</v>
      </c>
      <c r="G38" t="str">
        <f>_xlfn.XLOOKUP(C38,Salespeople!$A$2:$A$11,Salespeople!$D$2:$D$11)</f>
        <v>Brazil</v>
      </c>
      <c r="H38" s="3">
        <v>8</v>
      </c>
      <c r="I38" s="5">
        <f>_xlfn.XLOOKUP($D38,Products!$A$2:$A$16,Products!$D$2:$D$16)</f>
        <v>1150</v>
      </c>
      <c r="J38" s="5">
        <f>_xlfn.XLOOKUP(Sales!$D38,Products!$A$2:$A$16,Products!$E$2:$E$16)</f>
        <v>820</v>
      </c>
      <c r="K38" s="8" cm="1">
        <f t="array" ref="K38">_xlfn.IFS(H38&lt;=5,0%,H38&lt;=10,5%,H38&lt;=15,10%,H38&lt;=20,15%,H38&gt;20,20%)</f>
        <v>0.05</v>
      </c>
      <c r="L38" s="6">
        <f t="shared" si="0"/>
        <v>8740</v>
      </c>
      <c r="M38" s="6" cm="1">
        <f t="array" ref="M38">L38*_xlfn.IFS(L38&lt;=5000,0.02,L38&lt;=15000,0.04,L38&gt;15000,0.06)</f>
        <v>349.6</v>
      </c>
      <c r="N38" s="6">
        <f t="shared" si="1"/>
        <v>2180</v>
      </c>
      <c r="O38" s="8">
        <f t="shared" si="2"/>
        <v>0.2494279176201373</v>
      </c>
    </row>
    <row r="39" spans="1:15" x14ac:dyDescent="0.45">
      <c r="A39" t="s">
        <v>111</v>
      </c>
      <c r="B39" s="4">
        <v>45324</v>
      </c>
      <c r="C39" t="s">
        <v>83</v>
      </c>
      <c r="D39" t="s">
        <v>19</v>
      </c>
      <c r="E39" t="s">
        <v>14</v>
      </c>
      <c r="F39" t="str">
        <f>_xlfn.XLOOKUP(C39,Salespeople!$A$2:$A$11,Salespeople!$C$2:$C$11)</f>
        <v>EMEA</v>
      </c>
      <c r="G39" t="str">
        <f>_xlfn.XLOOKUP(C39,Salespeople!$A$2:$A$11,Salespeople!$D$2:$D$11)</f>
        <v>United Arab Emirates</v>
      </c>
      <c r="H39" s="3">
        <v>18</v>
      </c>
      <c r="I39" s="5">
        <f>_xlfn.XLOOKUP($D39,Products!$A$2:$A$16,Products!$D$2:$D$16)</f>
        <v>25</v>
      </c>
      <c r="J39" s="5">
        <f>_xlfn.XLOOKUP(Sales!$D39,Products!$A$2:$A$16,Products!$E$2:$E$16)</f>
        <v>11</v>
      </c>
      <c r="K39" s="8" cm="1">
        <f t="array" ref="K39">_xlfn.IFS(H39&lt;=5,0%,H39&lt;=10,5%,H39&lt;=15,10%,H39&lt;=20,15%,H39&gt;20,20%)</f>
        <v>0.15</v>
      </c>
      <c r="L39" s="6">
        <f t="shared" si="0"/>
        <v>382.5</v>
      </c>
      <c r="M39" s="6" cm="1">
        <f t="array" ref="M39">L39*_xlfn.IFS(L39&lt;=5000,0.02,L39&lt;=15000,0.04,L39&gt;15000,0.06)</f>
        <v>7.65</v>
      </c>
      <c r="N39" s="6">
        <f t="shared" si="1"/>
        <v>184.5</v>
      </c>
      <c r="O39" s="8">
        <f t="shared" si="2"/>
        <v>0.4823529411764706</v>
      </c>
    </row>
    <row r="40" spans="1:15" x14ac:dyDescent="0.45">
      <c r="A40" t="s">
        <v>112</v>
      </c>
      <c r="B40" s="4">
        <v>45593</v>
      </c>
      <c r="C40" t="s">
        <v>51</v>
      </c>
      <c r="D40" t="s">
        <v>19</v>
      </c>
      <c r="E40" t="s">
        <v>23</v>
      </c>
      <c r="F40" t="str">
        <f>_xlfn.XLOOKUP(C40,Salespeople!$A$2:$A$11,Salespeople!$C$2:$C$11)</f>
        <v>Americas</v>
      </c>
      <c r="G40" t="str">
        <f>_xlfn.XLOOKUP(C40,Salespeople!$A$2:$A$11,Salespeople!$D$2:$D$11)</f>
        <v>Mexico</v>
      </c>
      <c r="H40" s="3">
        <v>23</v>
      </c>
      <c r="I40" s="5">
        <f>_xlfn.XLOOKUP($D40,Products!$A$2:$A$16,Products!$D$2:$D$16)</f>
        <v>25</v>
      </c>
      <c r="J40" s="5">
        <f>_xlfn.XLOOKUP(Sales!$D40,Products!$A$2:$A$16,Products!$E$2:$E$16)</f>
        <v>11</v>
      </c>
      <c r="K40" s="8" cm="1">
        <f t="array" ref="K40">_xlfn.IFS(H40&lt;=5,0%,H40&lt;=10,5%,H40&lt;=15,10%,H40&lt;=20,15%,H40&gt;20,20%)</f>
        <v>0.2</v>
      </c>
      <c r="L40" s="6">
        <f t="shared" si="0"/>
        <v>460</v>
      </c>
      <c r="M40" s="6" cm="1">
        <f t="array" ref="M40">L40*_xlfn.IFS(L40&lt;=5000,0.02,L40&lt;=15000,0.04,L40&gt;15000,0.06)</f>
        <v>9.2000000000000011</v>
      </c>
      <c r="N40" s="6">
        <f t="shared" si="1"/>
        <v>207</v>
      </c>
      <c r="O40" s="8">
        <f t="shared" si="2"/>
        <v>0.45</v>
      </c>
    </row>
    <row r="41" spans="1:15" x14ac:dyDescent="0.45">
      <c r="A41" t="s">
        <v>113</v>
      </c>
      <c r="B41" s="4">
        <v>45409</v>
      </c>
      <c r="C41" t="s">
        <v>17</v>
      </c>
      <c r="D41" t="s">
        <v>91</v>
      </c>
      <c r="E41" t="s">
        <v>23</v>
      </c>
      <c r="F41" t="str">
        <f>_xlfn.XLOOKUP(C41,Salespeople!$A$2:$A$11,Salespeople!$C$2:$C$11)</f>
        <v>EMEA</v>
      </c>
      <c r="G41" t="str">
        <f>_xlfn.XLOOKUP(C41,Salespeople!$A$2:$A$11,Salespeople!$D$2:$D$11)</f>
        <v>Portugal</v>
      </c>
      <c r="H41" s="3">
        <v>11</v>
      </c>
      <c r="I41" s="5">
        <f>_xlfn.XLOOKUP($D41,Products!$A$2:$A$16,Products!$D$2:$D$16)</f>
        <v>160</v>
      </c>
      <c r="J41" s="5">
        <f>_xlfn.XLOOKUP(Sales!$D41,Products!$A$2:$A$16,Products!$E$2:$E$16)</f>
        <v>88</v>
      </c>
      <c r="K41" s="8" cm="1">
        <f t="array" ref="K41">_xlfn.IFS(H41&lt;=5,0%,H41&lt;=10,5%,H41&lt;=15,10%,H41&lt;=20,15%,H41&gt;20,20%)</f>
        <v>0.1</v>
      </c>
      <c r="L41" s="6">
        <f t="shared" si="0"/>
        <v>1584</v>
      </c>
      <c r="M41" s="6" cm="1">
        <f t="array" ref="M41">L41*_xlfn.IFS(L41&lt;=5000,0.02,L41&lt;=15000,0.04,L41&gt;15000,0.06)</f>
        <v>31.68</v>
      </c>
      <c r="N41" s="6">
        <f t="shared" si="1"/>
        <v>616</v>
      </c>
      <c r="O41" s="8">
        <f t="shared" si="2"/>
        <v>0.3888888888888889</v>
      </c>
    </row>
    <row r="42" spans="1:15" x14ac:dyDescent="0.45">
      <c r="A42" t="s">
        <v>114</v>
      </c>
      <c r="B42" s="4">
        <v>45555</v>
      </c>
      <c r="C42" t="s">
        <v>51</v>
      </c>
      <c r="D42" t="s">
        <v>79</v>
      </c>
      <c r="E42" t="s">
        <v>14</v>
      </c>
      <c r="F42" t="str">
        <f>_xlfn.XLOOKUP(C42,Salespeople!$A$2:$A$11,Salespeople!$C$2:$C$11)</f>
        <v>Americas</v>
      </c>
      <c r="G42" t="str">
        <f>_xlfn.XLOOKUP(C42,Salespeople!$A$2:$A$11,Salespeople!$D$2:$D$11)</f>
        <v>Mexico</v>
      </c>
      <c r="H42" s="3">
        <v>16</v>
      </c>
      <c r="I42" s="5">
        <f>_xlfn.XLOOKUP($D42,Products!$A$2:$A$16,Products!$D$2:$D$16)</f>
        <v>240</v>
      </c>
      <c r="J42" s="5">
        <f>_xlfn.XLOOKUP(Sales!$D42,Products!$A$2:$A$16,Products!$E$2:$E$16)</f>
        <v>150</v>
      </c>
      <c r="K42" s="8" cm="1">
        <f t="array" ref="K42">_xlfn.IFS(H42&lt;=5,0%,H42&lt;=10,5%,H42&lt;=15,10%,H42&lt;=20,15%,H42&gt;20,20%)</f>
        <v>0.15</v>
      </c>
      <c r="L42" s="6">
        <f t="shared" si="0"/>
        <v>3264</v>
      </c>
      <c r="M42" s="6" cm="1">
        <f t="array" ref="M42">L42*_xlfn.IFS(L42&lt;=5000,0.02,L42&lt;=15000,0.04,L42&gt;15000,0.06)</f>
        <v>65.28</v>
      </c>
      <c r="N42" s="6">
        <f t="shared" si="1"/>
        <v>864</v>
      </c>
      <c r="O42" s="8">
        <f t="shared" si="2"/>
        <v>0.26470588235294118</v>
      </c>
    </row>
    <row r="43" spans="1:15" x14ac:dyDescent="0.45">
      <c r="A43" t="s">
        <v>115</v>
      </c>
      <c r="B43" s="4">
        <v>45568</v>
      </c>
      <c r="C43" t="s">
        <v>26</v>
      </c>
      <c r="D43" t="s">
        <v>28</v>
      </c>
      <c r="E43" t="s">
        <v>14</v>
      </c>
      <c r="F43" t="str">
        <f>_xlfn.XLOOKUP(C43,Salespeople!$A$2:$A$11,Salespeople!$C$2:$C$11)</f>
        <v>APAC</v>
      </c>
      <c r="G43" t="str">
        <f>_xlfn.XLOOKUP(C43,Salespeople!$A$2:$A$11,Salespeople!$D$2:$D$11)</f>
        <v>Singapore</v>
      </c>
      <c r="H43" s="3">
        <v>19</v>
      </c>
      <c r="I43" s="5">
        <f>_xlfn.XLOOKUP($D43,Products!$A$2:$A$16,Products!$D$2:$D$16)</f>
        <v>95</v>
      </c>
      <c r="J43" s="5">
        <f>_xlfn.XLOOKUP(Sales!$D43,Products!$A$2:$A$16,Products!$E$2:$E$16)</f>
        <v>44</v>
      </c>
      <c r="K43" s="8" cm="1">
        <f t="array" ref="K43">_xlfn.IFS(H43&lt;=5,0%,H43&lt;=10,5%,H43&lt;=15,10%,H43&lt;=20,15%,H43&gt;20,20%)</f>
        <v>0.15</v>
      </c>
      <c r="L43" s="6">
        <f t="shared" si="0"/>
        <v>1534.25</v>
      </c>
      <c r="M43" s="6" cm="1">
        <f t="array" ref="M43">L43*_xlfn.IFS(L43&lt;=5000,0.02,L43&lt;=15000,0.04,L43&gt;15000,0.06)</f>
        <v>30.685000000000002</v>
      </c>
      <c r="N43" s="6">
        <f t="shared" si="1"/>
        <v>698.25</v>
      </c>
      <c r="O43" s="8">
        <f t="shared" si="2"/>
        <v>0.45510835913312692</v>
      </c>
    </row>
    <row r="44" spans="1:15" x14ac:dyDescent="0.45">
      <c r="A44" t="s">
        <v>116</v>
      </c>
      <c r="B44" s="4">
        <v>45416</v>
      </c>
      <c r="C44" t="s">
        <v>60</v>
      </c>
      <c r="D44" t="s">
        <v>53</v>
      </c>
      <c r="E44" t="s">
        <v>48</v>
      </c>
      <c r="F44" t="str">
        <f>_xlfn.XLOOKUP(C44,Salespeople!$A$2:$A$11,Salespeople!$C$2:$C$11)</f>
        <v>APAC</v>
      </c>
      <c r="G44" t="str">
        <f>_xlfn.XLOOKUP(C44,Salespeople!$A$2:$A$11,Salespeople!$D$2:$D$11)</f>
        <v>Japan</v>
      </c>
      <c r="H44" s="3">
        <v>7</v>
      </c>
      <c r="I44" s="5">
        <f>_xlfn.XLOOKUP($D44,Products!$A$2:$A$16,Products!$D$2:$D$16)</f>
        <v>130</v>
      </c>
      <c r="J44" s="5">
        <f>_xlfn.XLOOKUP(Sales!$D44,Products!$A$2:$A$16,Products!$E$2:$E$16)</f>
        <v>62</v>
      </c>
      <c r="K44" s="8" cm="1">
        <f t="array" ref="K44">_xlfn.IFS(H44&lt;=5,0%,H44&lt;=10,5%,H44&lt;=15,10%,H44&lt;=20,15%,H44&gt;20,20%)</f>
        <v>0.05</v>
      </c>
      <c r="L44" s="6">
        <f t="shared" si="0"/>
        <v>864.5</v>
      </c>
      <c r="M44" s="6" cm="1">
        <f t="array" ref="M44">L44*_xlfn.IFS(L44&lt;=5000,0.02,L44&lt;=15000,0.04,L44&gt;15000,0.06)</f>
        <v>17.29</v>
      </c>
      <c r="N44" s="6">
        <f t="shared" si="1"/>
        <v>430.5</v>
      </c>
      <c r="O44" s="8">
        <f t="shared" si="2"/>
        <v>0.49797570850202427</v>
      </c>
    </row>
    <row r="45" spans="1:15" x14ac:dyDescent="0.45">
      <c r="A45" t="s">
        <v>117</v>
      </c>
      <c r="B45" s="4">
        <v>45341</v>
      </c>
      <c r="C45" t="s">
        <v>33</v>
      </c>
      <c r="D45" t="s">
        <v>56</v>
      </c>
      <c r="E45" t="s">
        <v>48</v>
      </c>
      <c r="F45" t="str">
        <f>_xlfn.XLOOKUP(C45,Salespeople!$A$2:$A$11,Salespeople!$C$2:$C$11)</f>
        <v>EMEA</v>
      </c>
      <c r="G45" t="str">
        <f>_xlfn.XLOOKUP(C45,Salespeople!$A$2:$A$11,Salespeople!$D$2:$D$11)</f>
        <v>Kenya</v>
      </c>
      <c r="H45" s="3">
        <v>14</v>
      </c>
      <c r="I45" s="5">
        <f>_xlfn.XLOOKUP($D45,Products!$A$2:$A$16,Products!$D$2:$D$16)</f>
        <v>520</v>
      </c>
      <c r="J45" s="5">
        <f>_xlfn.XLOOKUP(Sales!$D45,Products!$A$2:$A$16,Products!$E$2:$E$16)</f>
        <v>360</v>
      </c>
      <c r="K45" s="8" cm="1">
        <f t="array" ref="K45">_xlfn.IFS(H45&lt;=5,0%,H45&lt;=10,5%,H45&lt;=15,10%,H45&lt;=20,15%,H45&gt;20,20%)</f>
        <v>0.1</v>
      </c>
      <c r="L45" s="6">
        <f t="shared" si="0"/>
        <v>6552</v>
      </c>
      <c r="M45" s="6" cm="1">
        <f t="array" ref="M45">L45*_xlfn.IFS(L45&lt;=5000,0.02,L45&lt;=15000,0.04,L45&gt;15000,0.06)</f>
        <v>262.08</v>
      </c>
      <c r="N45" s="6">
        <f t="shared" si="1"/>
        <v>1512</v>
      </c>
      <c r="O45" s="8">
        <f t="shared" si="2"/>
        <v>0.23076923076923078</v>
      </c>
    </row>
    <row r="46" spans="1:15" x14ac:dyDescent="0.45">
      <c r="A46" t="s">
        <v>118</v>
      </c>
      <c r="B46" s="4">
        <v>45319</v>
      </c>
      <c r="C46" t="s">
        <v>17</v>
      </c>
      <c r="D46" t="s">
        <v>19</v>
      </c>
      <c r="E46" t="s">
        <v>48</v>
      </c>
      <c r="F46" t="str">
        <f>_xlfn.XLOOKUP(C46,Salespeople!$A$2:$A$11,Salespeople!$C$2:$C$11)</f>
        <v>EMEA</v>
      </c>
      <c r="G46" t="str">
        <f>_xlfn.XLOOKUP(C46,Salespeople!$A$2:$A$11,Salespeople!$D$2:$D$11)</f>
        <v>Portugal</v>
      </c>
      <c r="H46" s="3">
        <v>24</v>
      </c>
      <c r="I46" s="5">
        <f>_xlfn.XLOOKUP($D46,Products!$A$2:$A$16,Products!$D$2:$D$16)</f>
        <v>25</v>
      </c>
      <c r="J46" s="5">
        <f>_xlfn.XLOOKUP(Sales!$D46,Products!$A$2:$A$16,Products!$E$2:$E$16)</f>
        <v>11</v>
      </c>
      <c r="K46" s="8" cm="1">
        <f t="array" ref="K46">_xlfn.IFS(H46&lt;=5,0%,H46&lt;=10,5%,H46&lt;=15,10%,H46&lt;=20,15%,H46&gt;20,20%)</f>
        <v>0.2</v>
      </c>
      <c r="L46" s="6">
        <f t="shared" si="0"/>
        <v>480</v>
      </c>
      <c r="M46" s="6" cm="1">
        <f t="array" ref="M46">L46*_xlfn.IFS(L46&lt;=5000,0.02,L46&lt;=15000,0.04,L46&gt;15000,0.06)</f>
        <v>9.6</v>
      </c>
      <c r="N46" s="6">
        <f t="shared" si="1"/>
        <v>216</v>
      </c>
      <c r="O46" s="8">
        <f t="shared" si="2"/>
        <v>0.45</v>
      </c>
    </row>
    <row r="47" spans="1:15" x14ac:dyDescent="0.45">
      <c r="A47" t="s">
        <v>119</v>
      </c>
      <c r="B47" s="4">
        <v>45347</v>
      </c>
      <c r="C47" t="s">
        <v>51</v>
      </c>
      <c r="D47" t="s">
        <v>88</v>
      </c>
      <c r="E47" t="s">
        <v>23</v>
      </c>
      <c r="F47" t="str">
        <f>_xlfn.XLOOKUP(C47,Salespeople!$A$2:$A$11,Salespeople!$C$2:$C$11)</f>
        <v>Americas</v>
      </c>
      <c r="G47" t="str">
        <f>_xlfn.XLOOKUP(C47,Salespeople!$A$2:$A$11,Salespeople!$D$2:$D$11)</f>
        <v>Mexico</v>
      </c>
      <c r="H47" s="3">
        <v>18</v>
      </c>
      <c r="I47" s="5">
        <f>_xlfn.XLOOKUP($D47,Products!$A$2:$A$16,Products!$D$2:$D$16)</f>
        <v>35</v>
      </c>
      <c r="J47" s="5">
        <f>_xlfn.XLOOKUP(Sales!$D47,Products!$A$2:$A$16,Products!$E$2:$E$16)</f>
        <v>14</v>
      </c>
      <c r="K47" s="8" cm="1">
        <f t="array" ref="K47">_xlfn.IFS(H47&lt;=5,0%,H47&lt;=10,5%,H47&lt;=15,10%,H47&lt;=20,15%,H47&gt;20,20%)</f>
        <v>0.15</v>
      </c>
      <c r="L47" s="6">
        <f t="shared" si="0"/>
        <v>535.5</v>
      </c>
      <c r="M47" s="6" cm="1">
        <f t="array" ref="M47">L47*_xlfn.IFS(L47&lt;=5000,0.02,L47&lt;=15000,0.04,L47&gt;15000,0.06)</f>
        <v>10.71</v>
      </c>
      <c r="N47" s="6">
        <f t="shared" si="1"/>
        <v>283.5</v>
      </c>
      <c r="O47" s="8">
        <f t="shared" si="2"/>
        <v>0.52941176470588236</v>
      </c>
    </row>
    <row r="48" spans="1:15" x14ac:dyDescent="0.45">
      <c r="A48" t="s">
        <v>120</v>
      </c>
      <c r="B48" s="4">
        <v>45363</v>
      </c>
      <c r="C48" t="s">
        <v>33</v>
      </c>
      <c r="D48" t="s">
        <v>121</v>
      </c>
      <c r="E48" t="s">
        <v>48</v>
      </c>
      <c r="F48" t="str">
        <f>_xlfn.XLOOKUP(C48,Salespeople!$A$2:$A$11,Salespeople!$C$2:$C$11)</f>
        <v>EMEA</v>
      </c>
      <c r="G48" t="str">
        <f>_xlfn.XLOOKUP(C48,Salespeople!$A$2:$A$11,Salespeople!$D$2:$D$11)</f>
        <v>Kenya</v>
      </c>
      <c r="H48" s="3">
        <v>15</v>
      </c>
      <c r="I48" s="5">
        <f>_xlfn.XLOOKUP($D48,Products!$A$2:$A$16,Products!$D$2:$D$16)</f>
        <v>45</v>
      </c>
      <c r="J48" s="5">
        <f>_xlfn.XLOOKUP(Sales!$D48,Products!$A$2:$A$16,Products!$E$2:$E$16)</f>
        <v>19</v>
      </c>
      <c r="K48" s="8" cm="1">
        <f t="array" ref="K48">_xlfn.IFS(H48&lt;=5,0%,H48&lt;=10,5%,H48&lt;=15,10%,H48&lt;=20,15%,H48&gt;20,20%)</f>
        <v>0.1</v>
      </c>
      <c r="L48" s="6">
        <f t="shared" si="0"/>
        <v>607.5</v>
      </c>
      <c r="M48" s="6" cm="1">
        <f t="array" ref="M48">L48*_xlfn.IFS(L48&lt;=5000,0.02,L48&lt;=15000,0.04,L48&gt;15000,0.06)</f>
        <v>12.15</v>
      </c>
      <c r="N48" s="6">
        <f t="shared" si="1"/>
        <v>322.5</v>
      </c>
      <c r="O48" s="8">
        <f t="shared" si="2"/>
        <v>0.53086419753086422</v>
      </c>
    </row>
    <row r="49" spans="1:15" x14ac:dyDescent="0.45">
      <c r="A49" t="s">
        <v>123</v>
      </c>
      <c r="B49" s="4">
        <v>45330</v>
      </c>
      <c r="C49" t="s">
        <v>60</v>
      </c>
      <c r="D49" t="s">
        <v>53</v>
      </c>
      <c r="E49" t="s">
        <v>14</v>
      </c>
      <c r="F49" t="str">
        <f>_xlfn.XLOOKUP(C49,Salespeople!$A$2:$A$11,Salespeople!$C$2:$C$11)</f>
        <v>APAC</v>
      </c>
      <c r="G49" t="str">
        <f>_xlfn.XLOOKUP(C49,Salespeople!$A$2:$A$11,Salespeople!$D$2:$D$11)</f>
        <v>Japan</v>
      </c>
      <c r="H49" s="3">
        <v>4</v>
      </c>
      <c r="I49" s="5">
        <f>_xlfn.XLOOKUP($D49,Products!$A$2:$A$16,Products!$D$2:$D$16)</f>
        <v>130</v>
      </c>
      <c r="J49" s="5">
        <f>_xlfn.XLOOKUP(Sales!$D49,Products!$A$2:$A$16,Products!$E$2:$E$16)</f>
        <v>62</v>
      </c>
      <c r="K49" s="8" cm="1">
        <f t="array" ref="K49">_xlfn.IFS(H49&lt;=5,0%,H49&lt;=10,5%,H49&lt;=15,10%,H49&lt;=20,15%,H49&gt;20,20%)</f>
        <v>0</v>
      </c>
      <c r="L49" s="6">
        <f t="shared" si="0"/>
        <v>520</v>
      </c>
      <c r="M49" s="6" cm="1">
        <f t="array" ref="M49">L49*_xlfn.IFS(L49&lt;=5000,0.02,L49&lt;=15000,0.04,L49&gt;15000,0.06)</f>
        <v>10.4</v>
      </c>
      <c r="N49" s="6">
        <f t="shared" si="1"/>
        <v>272</v>
      </c>
      <c r="O49" s="8">
        <f t="shared" si="2"/>
        <v>0.52307692307692311</v>
      </c>
    </row>
    <row r="50" spans="1:15" x14ac:dyDescent="0.45">
      <c r="A50" t="s">
        <v>124</v>
      </c>
      <c r="B50" s="4">
        <v>45625</v>
      </c>
      <c r="C50" t="s">
        <v>38</v>
      </c>
      <c r="D50" t="s">
        <v>68</v>
      </c>
      <c r="E50" t="s">
        <v>23</v>
      </c>
      <c r="F50" t="str">
        <f>_xlfn.XLOOKUP(C50,Salespeople!$A$2:$A$11,Salespeople!$C$2:$C$11)</f>
        <v>Americas</v>
      </c>
      <c r="G50" t="str">
        <f>_xlfn.XLOOKUP(C50,Salespeople!$A$2:$A$11,Salespeople!$D$2:$D$11)</f>
        <v>Brazil</v>
      </c>
      <c r="H50" s="3">
        <v>3</v>
      </c>
      <c r="I50" s="5">
        <f>_xlfn.XLOOKUP($D50,Products!$A$2:$A$16,Products!$D$2:$D$16)</f>
        <v>110</v>
      </c>
      <c r="J50" s="5">
        <f>_xlfn.XLOOKUP(Sales!$D50,Products!$A$2:$A$16,Products!$E$2:$E$16)</f>
        <v>55</v>
      </c>
      <c r="K50" s="8" cm="1">
        <f t="array" ref="K50">_xlfn.IFS(H50&lt;=5,0%,H50&lt;=10,5%,H50&lt;=15,10%,H50&lt;=20,15%,H50&gt;20,20%)</f>
        <v>0</v>
      </c>
      <c r="L50" s="6">
        <f t="shared" si="0"/>
        <v>330</v>
      </c>
      <c r="M50" s="6" cm="1">
        <f t="array" ref="M50">L50*_xlfn.IFS(L50&lt;=5000,0.02,L50&lt;=15000,0.04,L50&gt;15000,0.06)</f>
        <v>6.6000000000000005</v>
      </c>
      <c r="N50" s="6">
        <f t="shared" si="1"/>
        <v>165</v>
      </c>
      <c r="O50" s="8">
        <f t="shared" si="2"/>
        <v>0.5</v>
      </c>
    </row>
    <row r="51" spans="1:15" x14ac:dyDescent="0.45">
      <c r="A51" t="s">
        <v>125</v>
      </c>
      <c r="B51" s="4">
        <v>45377</v>
      </c>
      <c r="C51" t="s">
        <v>33</v>
      </c>
      <c r="D51" t="s">
        <v>103</v>
      </c>
      <c r="E51" t="s">
        <v>48</v>
      </c>
      <c r="F51" t="str">
        <f>_xlfn.XLOOKUP(C51,Salespeople!$A$2:$A$11,Salespeople!$C$2:$C$11)</f>
        <v>EMEA</v>
      </c>
      <c r="G51" t="str">
        <f>_xlfn.XLOOKUP(C51,Salespeople!$A$2:$A$11,Salespeople!$D$2:$D$11)</f>
        <v>Kenya</v>
      </c>
      <c r="H51" s="3">
        <v>7</v>
      </c>
      <c r="I51" s="5">
        <f>_xlfn.XLOOKUP($D51,Products!$A$2:$A$16,Products!$D$2:$D$16)</f>
        <v>1150</v>
      </c>
      <c r="J51" s="5">
        <f>_xlfn.XLOOKUP(Sales!$D51,Products!$A$2:$A$16,Products!$E$2:$E$16)</f>
        <v>820</v>
      </c>
      <c r="K51" s="8" cm="1">
        <f t="array" ref="K51">_xlfn.IFS(H51&lt;=5,0%,H51&lt;=10,5%,H51&lt;=15,10%,H51&lt;=20,15%,H51&gt;20,20%)</f>
        <v>0.05</v>
      </c>
      <c r="L51" s="6">
        <f t="shared" si="0"/>
        <v>7647.5</v>
      </c>
      <c r="M51" s="6" cm="1">
        <f t="array" ref="M51">L51*_xlfn.IFS(L51&lt;=5000,0.02,L51&lt;=15000,0.04,L51&gt;15000,0.06)</f>
        <v>305.90000000000003</v>
      </c>
      <c r="N51" s="6">
        <f t="shared" si="1"/>
        <v>1907.5</v>
      </c>
      <c r="O51" s="8">
        <f t="shared" si="2"/>
        <v>0.2494279176201373</v>
      </c>
    </row>
    <row r="52" spans="1:15" x14ac:dyDescent="0.45">
      <c r="A52" t="s">
        <v>126</v>
      </c>
      <c r="B52" s="4">
        <v>45322</v>
      </c>
      <c r="C52" t="s">
        <v>26</v>
      </c>
      <c r="D52" t="s">
        <v>44</v>
      </c>
      <c r="E52" t="s">
        <v>23</v>
      </c>
      <c r="F52" t="str">
        <f>_xlfn.XLOOKUP(C52,Salespeople!$A$2:$A$11,Salespeople!$C$2:$C$11)</f>
        <v>APAC</v>
      </c>
      <c r="G52" t="str">
        <f>_xlfn.XLOOKUP(C52,Salespeople!$A$2:$A$11,Salespeople!$D$2:$D$11)</f>
        <v>Singapore</v>
      </c>
      <c r="H52" s="3">
        <v>13</v>
      </c>
      <c r="I52" s="5">
        <f>_xlfn.XLOOKUP($D52,Products!$A$2:$A$16,Products!$D$2:$D$16)</f>
        <v>180</v>
      </c>
      <c r="J52" s="5">
        <f>_xlfn.XLOOKUP(Sales!$D52,Products!$A$2:$A$16,Products!$E$2:$E$16)</f>
        <v>105</v>
      </c>
      <c r="K52" s="8" cm="1">
        <f t="array" ref="K52">_xlfn.IFS(H52&lt;=5,0%,H52&lt;=10,5%,H52&lt;=15,10%,H52&lt;=20,15%,H52&gt;20,20%)</f>
        <v>0.1</v>
      </c>
      <c r="L52" s="6">
        <f t="shared" si="0"/>
        <v>2106</v>
      </c>
      <c r="M52" s="6" cm="1">
        <f t="array" ref="M52">L52*_xlfn.IFS(L52&lt;=5000,0.02,L52&lt;=15000,0.04,L52&gt;15000,0.06)</f>
        <v>42.12</v>
      </c>
      <c r="N52" s="6">
        <f t="shared" si="1"/>
        <v>741</v>
      </c>
      <c r="O52" s="8">
        <f t="shared" si="2"/>
        <v>0.35185185185185186</v>
      </c>
    </row>
    <row r="53" spans="1:15" x14ac:dyDescent="0.45">
      <c r="A53" t="s">
        <v>127</v>
      </c>
      <c r="B53" s="4">
        <v>45524</v>
      </c>
      <c r="C53" t="s">
        <v>66</v>
      </c>
      <c r="D53" t="s">
        <v>44</v>
      </c>
      <c r="E53" t="s">
        <v>14</v>
      </c>
      <c r="F53" t="str">
        <f>_xlfn.XLOOKUP(C53,Salespeople!$A$2:$A$11,Salespeople!$C$2:$C$11)</f>
        <v>Americas</v>
      </c>
      <c r="G53" t="str">
        <f>_xlfn.XLOOKUP(C53,Salespeople!$A$2:$A$11,Salespeople!$D$2:$D$11)</f>
        <v>United States</v>
      </c>
      <c r="H53" s="3">
        <v>24</v>
      </c>
      <c r="I53" s="5">
        <f>_xlfn.XLOOKUP($D53,Products!$A$2:$A$16,Products!$D$2:$D$16)</f>
        <v>180</v>
      </c>
      <c r="J53" s="5">
        <f>_xlfn.XLOOKUP(Sales!$D53,Products!$A$2:$A$16,Products!$E$2:$E$16)</f>
        <v>105</v>
      </c>
      <c r="K53" s="8" cm="1">
        <f t="array" ref="K53">_xlfn.IFS(H53&lt;=5,0%,H53&lt;=10,5%,H53&lt;=15,10%,H53&lt;=20,15%,H53&gt;20,20%)</f>
        <v>0.2</v>
      </c>
      <c r="L53" s="6">
        <f t="shared" si="0"/>
        <v>3456</v>
      </c>
      <c r="M53" s="6" cm="1">
        <f t="array" ref="M53">L53*_xlfn.IFS(L53&lt;=5000,0.02,L53&lt;=15000,0.04,L53&gt;15000,0.06)</f>
        <v>69.12</v>
      </c>
      <c r="N53" s="6">
        <f t="shared" si="1"/>
        <v>936</v>
      </c>
      <c r="O53" s="8">
        <f t="shared" si="2"/>
        <v>0.27083333333333331</v>
      </c>
    </row>
    <row r="54" spans="1:15" x14ac:dyDescent="0.45">
      <c r="A54" t="s">
        <v>128</v>
      </c>
      <c r="B54" s="4">
        <v>45371</v>
      </c>
      <c r="C54" t="s">
        <v>51</v>
      </c>
      <c r="D54" t="s">
        <v>79</v>
      </c>
      <c r="E54" t="s">
        <v>23</v>
      </c>
      <c r="F54" t="str">
        <f>_xlfn.XLOOKUP(C54,Salespeople!$A$2:$A$11,Salespeople!$C$2:$C$11)</f>
        <v>Americas</v>
      </c>
      <c r="G54" t="str">
        <f>_xlfn.XLOOKUP(C54,Salespeople!$A$2:$A$11,Salespeople!$D$2:$D$11)</f>
        <v>Mexico</v>
      </c>
      <c r="H54" s="3">
        <v>2</v>
      </c>
      <c r="I54" s="5">
        <f>_xlfn.XLOOKUP($D54,Products!$A$2:$A$16,Products!$D$2:$D$16)</f>
        <v>240</v>
      </c>
      <c r="J54" s="5">
        <f>_xlfn.XLOOKUP(Sales!$D54,Products!$A$2:$A$16,Products!$E$2:$E$16)</f>
        <v>150</v>
      </c>
      <c r="K54" s="8" cm="1">
        <f t="array" ref="K54">_xlfn.IFS(H54&lt;=5,0%,H54&lt;=10,5%,H54&lt;=15,10%,H54&lt;=20,15%,H54&gt;20,20%)</f>
        <v>0</v>
      </c>
      <c r="L54" s="6">
        <f t="shared" si="0"/>
        <v>480</v>
      </c>
      <c r="M54" s="6" cm="1">
        <f t="array" ref="M54">L54*_xlfn.IFS(L54&lt;=5000,0.02,L54&lt;=15000,0.04,L54&gt;15000,0.06)</f>
        <v>9.6</v>
      </c>
      <c r="N54" s="6">
        <f t="shared" si="1"/>
        <v>180</v>
      </c>
      <c r="O54" s="8">
        <f t="shared" si="2"/>
        <v>0.375</v>
      </c>
    </row>
    <row r="55" spans="1:15" x14ac:dyDescent="0.45">
      <c r="A55" t="s">
        <v>129</v>
      </c>
      <c r="B55" s="4">
        <v>45452</v>
      </c>
      <c r="C55" t="s">
        <v>131</v>
      </c>
      <c r="D55" t="s">
        <v>19</v>
      </c>
      <c r="E55" t="s">
        <v>14</v>
      </c>
      <c r="F55" t="str">
        <f>_xlfn.XLOOKUP(C55,Salespeople!$A$2:$A$11,Salespeople!$C$2:$C$11)</f>
        <v>EMEA</v>
      </c>
      <c r="G55" t="str">
        <f>_xlfn.XLOOKUP(C55,Salespeople!$A$2:$A$11,Salespeople!$D$2:$D$11)</f>
        <v>United Kingdom</v>
      </c>
      <c r="H55" s="3">
        <v>16</v>
      </c>
      <c r="I55" s="5">
        <f>_xlfn.XLOOKUP($D55,Products!$A$2:$A$16,Products!$D$2:$D$16)</f>
        <v>25</v>
      </c>
      <c r="J55" s="5">
        <f>_xlfn.XLOOKUP(Sales!$D55,Products!$A$2:$A$16,Products!$E$2:$E$16)</f>
        <v>11</v>
      </c>
      <c r="K55" s="8" cm="1">
        <f t="array" ref="K55">_xlfn.IFS(H55&lt;=5,0%,H55&lt;=10,5%,H55&lt;=15,10%,H55&lt;=20,15%,H55&gt;20,20%)</f>
        <v>0.15</v>
      </c>
      <c r="L55" s="6">
        <f t="shared" si="0"/>
        <v>340</v>
      </c>
      <c r="M55" s="6" cm="1">
        <f t="array" ref="M55">L55*_xlfn.IFS(L55&lt;=5000,0.02,L55&lt;=15000,0.04,L55&gt;15000,0.06)</f>
        <v>6.8</v>
      </c>
      <c r="N55" s="6">
        <f t="shared" si="1"/>
        <v>164</v>
      </c>
      <c r="O55" s="8">
        <f t="shared" si="2"/>
        <v>0.4823529411764706</v>
      </c>
    </row>
    <row r="56" spans="1:15" x14ac:dyDescent="0.45">
      <c r="A56" t="s">
        <v>133</v>
      </c>
      <c r="B56" s="4">
        <v>45321</v>
      </c>
      <c r="C56" t="s">
        <v>38</v>
      </c>
      <c r="D56" t="s">
        <v>134</v>
      </c>
      <c r="E56" t="s">
        <v>23</v>
      </c>
      <c r="F56" t="str">
        <f>_xlfn.XLOOKUP(C56,Salespeople!$A$2:$A$11,Salespeople!$C$2:$C$11)</f>
        <v>Americas</v>
      </c>
      <c r="G56" t="str">
        <f>_xlfn.XLOOKUP(C56,Salespeople!$A$2:$A$11,Salespeople!$D$2:$D$11)</f>
        <v>Brazil</v>
      </c>
      <c r="H56" s="3">
        <v>3</v>
      </c>
      <c r="I56" s="5">
        <f>_xlfn.XLOOKUP($D56,Products!$A$2:$A$16,Products!$D$2:$D$16)</f>
        <v>79</v>
      </c>
      <c r="J56" s="5">
        <f>_xlfn.XLOOKUP(Sales!$D56,Products!$A$2:$A$16,Products!$E$2:$E$16)</f>
        <v>38</v>
      </c>
      <c r="K56" s="8" cm="1">
        <f t="array" ref="K56">_xlfn.IFS(H56&lt;=5,0%,H56&lt;=10,5%,H56&lt;=15,10%,H56&lt;=20,15%,H56&gt;20,20%)</f>
        <v>0</v>
      </c>
      <c r="L56" s="6">
        <f t="shared" si="0"/>
        <v>237</v>
      </c>
      <c r="M56" s="6" cm="1">
        <f t="array" ref="M56">L56*_xlfn.IFS(L56&lt;=5000,0.02,L56&lt;=15000,0.04,L56&gt;15000,0.06)</f>
        <v>4.74</v>
      </c>
      <c r="N56" s="6">
        <f t="shared" si="1"/>
        <v>123</v>
      </c>
      <c r="O56" s="8">
        <f t="shared" si="2"/>
        <v>0.51898734177215189</v>
      </c>
    </row>
    <row r="57" spans="1:15" x14ac:dyDescent="0.45">
      <c r="A57" t="s">
        <v>136</v>
      </c>
      <c r="B57" s="4">
        <v>45637</v>
      </c>
      <c r="C57" t="s">
        <v>51</v>
      </c>
      <c r="D57" t="s">
        <v>44</v>
      </c>
      <c r="E57" t="s">
        <v>23</v>
      </c>
      <c r="F57" t="str">
        <f>_xlfn.XLOOKUP(C57,Salespeople!$A$2:$A$11,Salespeople!$C$2:$C$11)</f>
        <v>Americas</v>
      </c>
      <c r="G57" t="str">
        <f>_xlfn.XLOOKUP(C57,Salespeople!$A$2:$A$11,Salespeople!$D$2:$D$11)</f>
        <v>Mexico</v>
      </c>
      <c r="H57" s="3">
        <v>19</v>
      </c>
      <c r="I57" s="5">
        <f>_xlfn.XLOOKUP($D57,Products!$A$2:$A$16,Products!$D$2:$D$16)</f>
        <v>180</v>
      </c>
      <c r="J57" s="5">
        <f>_xlfn.XLOOKUP(Sales!$D57,Products!$A$2:$A$16,Products!$E$2:$E$16)</f>
        <v>105</v>
      </c>
      <c r="K57" s="8" cm="1">
        <f t="array" ref="K57">_xlfn.IFS(H57&lt;=5,0%,H57&lt;=10,5%,H57&lt;=15,10%,H57&lt;=20,15%,H57&gt;20,20%)</f>
        <v>0.15</v>
      </c>
      <c r="L57" s="6">
        <f t="shared" si="0"/>
        <v>2907</v>
      </c>
      <c r="M57" s="6" cm="1">
        <f t="array" ref="M57">L57*_xlfn.IFS(L57&lt;=5000,0.02,L57&lt;=15000,0.04,L57&gt;15000,0.06)</f>
        <v>58.14</v>
      </c>
      <c r="N57" s="6">
        <f t="shared" si="1"/>
        <v>912</v>
      </c>
      <c r="O57" s="8">
        <f t="shared" si="2"/>
        <v>0.31372549019607843</v>
      </c>
    </row>
    <row r="58" spans="1:15" x14ac:dyDescent="0.45">
      <c r="A58" t="s">
        <v>137</v>
      </c>
      <c r="B58" s="4">
        <v>45588</v>
      </c>
      <c r="C58" t="s">
        <v>139</v>
      </c>
      <c r="D58" t="s">
        <v>19</v>
      </c>
      <c r="E58" t="s">
        <v>14</v>
      </c>
      <c r="F58" t="str">
        <f>_xlfn.XLOOKUP(C58,Salespeople!$A$2:$A$11,Salespeople!$C$2:$C$11)</f>
        <v>Americas</v>
      </c>
      <c r="G58" t="str">
        <f>_xlfn.XLOOKUP(C58,Salespeople!$A$2:$A$11,Salespeople!$D$2:$D$11)</f>
        <v>Canada</v>
      </c>
      <c r="H58" s="3">
        <v>3</v>
      </c>
      <c r="I58" s="5">
        <f>_xlfn.XLOOKUP($D58,Products!$A$2:$A$16,Products!$D$2:$D$16)</f>
        <v>25</v>
      </c>
      <c r="J58" s="5">
        <f>_xlfn.XLOOKUP(Sales!$D58,Products!$A$2:$A$16,Products!$E$2:$E$16)</f>
        <v>11</v>
      </c>
      <c r="K58" s="8" cm="1">
        <f t="array" ref="K58">_xlfn.IFS(H58&lt;=5,0%,H58&lt;=10,5%,H58&lt;=15,10%,H58&lt;=20,15%,H58&gt;20,20%)</f>
        <v>0</v>
      </c>
      <c r="L58" s="6">
        <f t="shared" si="0"/>
        <v>75</v>
      </c>
      <c r="M58" s="6" cm="1">
        <f t="array" ref="M58">L58*_xlfn.IFS(L58&lt;=5000,0.02,L58&lt;=15000,0.04,L58&gt;15000,0.06)</f>
        <v>1.5</v>
      </c>
      <c r="N58" s="6">
        <f t="shared" si="1"/>
        <v>42</v>
      </c>
      <c r="O58" s="8">
        <f t="shared" si="2"/>
        <v>0.56000000000000005</v>
      </c>
    </row>
    <row r="59" spans="1:15" x14ac:dyDescent="0.45">
      <c r="A59" t="s">
        <v>141</v>
      </c>
      <c r="B59" s="4">
        <v>45628</v>
      </c>
      <c r="C59" t="s">
        <v>139</v>
      </c>
      <c r="D59" t="s">
        <v>40</v>
      </c>
      <c r="E59" t="s">
        <v>14</v>
      </c>
      <c r="F59" t="str">
        <f>_xlfn.XLOOKUP(C59,Salespeople!$A$2:$A$11,Salespeople!$C$2:$C$11)</f>
        <v>Americas</v>
      </c>
      <c r="G59" t="str">
        <f>_xlfn.XLOOKUP(C59,Salespeople!$A$2:$A$11,Salespeople!$D$2:$D$11)</f>
        <v>Canada</v>
      </c>
      <c r="H59" s="3">
        <v>11</v>
      </c>
      <c r="I59" s="5">
        <f>_xlfn.XLOOKUP($D59,Products!$A$2:$A$16,Products!$D$2:$D$16)</f>
        <v>1050</v>
      </c>
      <c r="J59" s="5">
        <f>_xlfn.XLOOKUP(Sales!$D59,Products!$A$2:$A$16,Products!$E$2:$E$16)</f>
        <v>760</v>
      </c>
      <c r="K59" s="8" cm="1">
        <f t="array" ref="K59">_xlfn.IFS(H59&lt;=5,0%,H59&lt;=10,5%,H59&lt;=15,10%,H59&lt;=20,15%,H59&gt;20,20%)</f>
        <v>0.1</v>
      </c>
      <c r="L59" s="6">
        <f t="shared" si="0"/>
        <v>10395</v>
      </c>
      <c r="M59" s="6" cm="1">
        <f t="array" ref="M59">L59*_xlfn.IFS(L59&lt;=5000,0.02,L59&lt;=15000,0.04,L59&gt;15000,0.06)</f>
        <v>415.8</v>
      </c>
      <c r="N59" s="6">
        <f t="shared" si="1"/>
        <v>2035</v>
      </c>
      <c r="O59" s="8">
        <f t="shared" si="2"/>
        <v>0.19576719576719576</v>
      </c>
    </row>
    <row r="60" spans="1:15" x14ac:dyDescent="0.45">
      <c r="A60" t="s">
        <v>142</v>
      </c>
      <c r="B60" s="4">
        <v>45396</v>
      </c>
      <c r="C60" t="s">
        <v>83</v>
      </c>
      <c r="D60" t="s">
        <v>88</v>
      </c>
      <c r="E60" t="s">
        <v>48</v>
      </c>
      <c r="F60" t="str">
        <f>_xlfn.XLOOKUP(C60,Salespeople!$A$2:$A$11,Salespeople!$C$2:$C$11)</f>
        <v>EMEA</v>
      </c>
      <c r="G60" t="str">
        <f>_xlfn.XLOOKUP(C60,Salespeople!$A$2:$A$11,Salespeople!$D$2:$D$11)</f>
        <v>United Arab Emirates</v>
      </c>
      <c r="H60" s="3">
        <v>13</v>
      </c>
      <c r="I60" s="5">
        <f>_xlfn.XLOOKUP($D60,Products!$A$2:$A$16,Products!$D$2:$D$16)</f>
        <v>35</v>
      </c>
      <c r="J60" s="5">
        <f>_xlfn.XLOOKUP(Sales!$D60,Products!$A$2:$A$16,Products!$E$2:$E$16)</f>
        <v>14</v>
      </c>
      <c r="K60" s="8" cm="1">
        <f t="array" ref="K60">_xlfn.IFS(H60&lt;=5,0%,H60&lt;=10,5%,H60&lt;=15,10%,H60&lt;=20,15%,H60&gt;20,20%)</f>
        <v>0.1</v>
      </c>
      <c r="L60" s="6">
        <f t="shared" si="0"/>
        <v>409.5</v>
      </c>
      <c r="M60" s="6" cm="1">
        <f t="array" ref="M60">L60*_xlfn.IFS(L60&lt;=5000,0.02,L60&lt;=15000,0.04,L60&gt;15000,0.06)</f>
        <v>8.19</v>
      </c>
      <c r="N60" s="6">
        <f t="shared" si="1"/>
        <v>227.5</v>
      </c>
      <c r="O60" s="8">
        <f t="shared" si="2"/>
        <v>0.55555555555555558</v>
      </c>
    </row>
    <row r="61" spans="1:15" x14ac:dyDescent="0.45">
      <c r="A61" t="s">
        <v>143</v>
      </c>
      <c r="B61" s="4">
        <v>45635</v>
      </c>
      <c r="C61" t="s">
        <v>66</v>
      </c>
      <c r="D61" t="s">
        <v>103</v>
      </c>
      <c r="E61" t="s">
        <v>48</v>
      </c>
      <c r="F61" t="str">
        <f>_xlfn.XLOOKUP(C61,Salespeople!$A$2:$A$11,Salespeople!$C$2:$C$11)</f>
        <v>Americas</v>
      </c>
      <c r="G61" t="str">
        <f>_xlfn.XLOOKUP(C61,Salespeople!$A$2:$A$11,Salespeople!$D$2:$D$11)</f>
        <v>United States</v>
      </c>
      <c r="H61" s="3">
        <v>25</v>
      </c>
      <c r="I61" s="5">
        <f>_xlfn.XLOOKUP($D61,Products!$A$2:$A$16,Products!$D$2:$D$16)</f>
        <v>1150</v>
      </c>
      <c r="J61" s="5">
        <f>_xlfn.XLOOKUP(Sales!$D61,Products!$A$2:$A$16,Products!$E$2:$E$16)</f>
        <v>820</v>
      </c>
      <c r="K61" s="8" cm="1">
        <f t="array" ref="K61">_xlfn.IFS(H61&lt;=5,0%,H61&lt;=10,5%,H61&lt;=15,10%,H61&lt;=20,15%,H61&gt;20,20%)</f>
        <v>0.2</v>
      </c>
      <c r="L61" s="6">
        <f t="shared" si="0"/>
        <v>23000</v>
      </c>
      <c r="M61" s="6" cm="1">
        <f t="array" ref="M61">L61*_xlfn.IFS(L61&lt;=5000,0.02,L61&lt;=15000,0.04,L61&gt;15000,0.06)</f>
        <v>1380</v>
      </c>
      <c r="N61" s="6">
        <f t="shared" si="1"/>
        <v>2500</v>
      </c>
      <c r="O61" s="8">
        <f t="shared" si="2"/>
        <v>0.10869565217391304</v>
      </c>
    </row>
    <row r="62" spans="1:15" x14ac:dyDescent="0.45">
      <c r="A62" t="s">
        <v>144</v>
      </c>
      <c r="B62" s="4">
        <v>45296</v>
      </c>
      <c r="C62" t="s">
        <v>60</v>
      </c>
      <c r="D62" t="s">
        <v>40</v>
      </c>
      <c r="E62" t="s">
        <v>14</v>
      </c>
      <c r="F62" t="str">
        <f>_xlfn.XLOOKUP(C62,Salespeople!$A$2:$A$11,Salespeople!$C$2:$C$11)</f>
        <v>APAC</v>
      </c>
      <c r="G62" t="str">
        <f>_xlfn.XLOOKUP(C62,Salespeople!$A$2:$A$11,Salespeople!$D$2:$D$11)</f>
        <v>Japan</v>
      </c>
      <c r="H62" s="3">
        <v>4</v>
      </c>
      <c r="I62" s="5">
        <f>_xlfn.XLOOKUP($D62,Products!$A$2:$A$16,Products!$D$2:$D$16)</f>
        <v>1050</v>
      </c>
      <c r="J62" s="5">
        <f>_xlfn.XLOOKUP(Sales!$D62,Products!$A$2:$A$16,Products!$E$2:$E$16)</f>
        <v>760</v>
      </c>
      <c r="K62" s="8" cm="1">
        <f t="array" ref="K62">_xlfn.IFS(H62&lt;=5,0%,H62&lt;=10,5%,H62&lt;=15,10%,H62&lt;=20,15%,H62&gt;20,20%)</f>
        <v>0</v>
      </c>
      <c r="L62" s="6">
        <f t="shared" si="0"/>
        <v>4200</v>
      </c>
      <c r="M62" s="6" cm="1">
        <f t="array" ref="M62">L62*_xlfn.IFS(L62&lt;=5000,0.02,L62&lt;=15000,0.04,L62&gt;15000,0.06)</f>
        <v>84</v>
      </c>
      <c r="N62" s="6">
        <f t="shared" si="1"/>
        <v>1160</v>
      </c>
      <c r="O62" s="8">
        <f t="shared" si="2"/>
        <v>0.27619047619047621</v>
      </c>
    </row>
    <row r="63" spans="1:15" x14ac:dyDescent="0.45">
      <c r="A63" t="s">
        <v>145</v>
      </c>
      <c r="B63" s="4">
        <v>45567</v>
      </c>
      <c r="C63" t="s">
        <v>51</v>
      </c>
      <c r="D63" t="s">
        <v>62</v>
      </c>
      <c r="E63" t="s">
        <v>48</v>
      </c>
      <c r="F63" t="str">
        <f>_xlfn.XLOOKUP(C63,Salespeople!$A$2:$A$11,Salespeople!$C$2:$C$11)</f>
        <v>Americas</v>
      </c>
      <c r="G63" t="str">
        <f>_xlfn.XLOOKUP(C63,Salespeople!$A$2:$A$11,Salespeople!$D$2:$D$11)</f>
        <v>Mexico</v>
      </c>
      <c r="H63" s="3">
        <v>5</v>
      </c>
      <c r="I63" s="5">
        <f>_xlfn.XLOOKUP($D63,Products!$A$2:$A$16,Products!$D$2:$D$16)</f>
        <v>1750</v>
      </c>
      <c r="J63" s="5">
        <f>_xlfn.XLOOKUP(Sales!$D63,Products!$A$2:$A$16,Products!$E$2:$E$16)</f>
        <v>1300</v>
      </c>
      <c r="K63" s="8" cm="1">
        <f t="array" ref="K63">_xlfn.IFS(H63&lt;=5,0%,H63&lt;=10,5%,H63&lt;=15,10%,H63&lt;=20,15%,H63&gt;20,20%)</f>
        <v>0</v>
      </c>
      <c r="L63" s="6">
        <f t="shared" si="0"/>
        <v>8750</v>
      </c>
      <c r="M63" s="6" cm="1">
        <f t="array" ref="M63">L63*_xlfn.IFS(L63&lt;=5000,0.02,L63&lt;=15000,0.04,L63&gt;15000,0.06)</f>
        <v>350</v>
      </c>
      <c r="N63" s="6">
        <f t="shared" si="1"/>
        <v>2250</v>
      </c>
      <c r="O63" s="8">
        <f t="shared" si="2"/>
        <v>0.25714285714285712</v>
      </c>
    </row>
    <row r="64" spans="1:15" x14ac:dyDescent="0.45">
      <c r="A64" t="s">
        <v>146</v>
      </c>
      <c r="B64" s="4">
        <v>45327</v>
      </c>
      <c r="C64" t="s">
        <v>51</v>
      </c>
      <c r="D64" t="s">
        <v>56</v>
      </c>
      <c r="E64" t="s">
        <v>48</v>
      </c>
      <c r="F64" t="str">
        <f>_xlfn.XLOOKUP(C64,Salespeople!$A$2:$A$11,Salespeople!$C$2:$C$11)</f>
        <v>Americas</v>
      </c>
      <c r="G64" t="str">
        <f>_xlfn.XLOOKUP(C64,Salespeople!$A$2:$A$11,Salespeople!$D$2:$D$11)</f>
        <v>Mexico</v>
      </c>
      <c r="H64" s="3">
        <v>6</v>
      </c>
      <c r="I64" s="5">
        <f>_xlfn.XLOOKUP($D64,Products!$A$2:$A$16,Products!$D$2:$D$16)</f>
        <v>520</v>
      </c>
      <c r="J64" s="5">
        <f>_xlfn.XLOOKUP(Sales!$D64,Products!$A$2:$A$16,Products!$E$2:$E$16)</f>
        <v>360</v>
      </c>
      <c r="K64" s="8" cm="1">
        <f t="array" ref="K64">_xlfn.IFS(H64&lt;=5,0%,H64&lt;=10,5%,H64&lt;=15,10%,H64&lt;=20,15%,H64&gt;20,20%)</f>
        <v>0.05</v>
      </c>
      <c r="L64" s="6">
        <f t="shared" si="0"/>
        <v>2964</v>
      </c>
      <c r="M64" s="6" cm="1">
        <f t="array" ref="M64">L64*_xlfn.IFS(L64&lt;=5000,0.02,L64&lt;=15000,0.04,L64&gt;15000,0.06)</f>
        <v>59.28</v>
      </c>
      <c r="N64" s="6">
        <f t="shared" si="1"/>
        <v>804</v>
      </c>
      <c r="O64" s="8">
        <f t="shared" si="2"/>
        <v>0.27125506072874495</v>
      </c>
    </row>
    <row r="65" spans="1:15" x14ac:dyDescent="0.45">
      <c r="A65" t="s">
        <v>147</v>
      </c>
      <c r="B65" s="4">
        <v>45570</v>
      </c>
      <c r="C65" t="s">
        <v>66</v>
      </c>
      <c r="D65" t="s">
        <v>40</v>
      </c>
      <c r="E65" t="s">
        <v>14</v>
      </c>
      <c r="F65" t="str">
        <f>_xlfn.XLOOKUP(C65,Salespeople!$A$2:$A$11,Salespeople!$C$2:$C$11)</f>
        <v>Americas</v>
      </c>
      <c r="G65" t="str">
        <f>_xlfn.XLOOKUP(C65,Salespeople!$A$2:$A$11,Salespeople!$D$2:$D$11)</f>
        <v>United States</v>
      </c>
      <c r="H65" s="3">
        <v>17</v>
      </c>
      <c r="I65" s="5">
        <f>_xlfn.XLOOKUP($D65,Products!$A$2:$A$16,Products!$D$2:$D$16)</f>
        <v>1050</v>
      </c>
      <c r="J65" s="5">
        <f>_xlfn.XLOOKUP(Sales!$D65,Products!$A$2:$A$16,Products!$E$2:$E$16)</f>
        <v>760</v>
      </c>
      <c r="K65" s="8" cm="1">
        <f t="array" ref="K65">_xlfn.IFS(H65&lt;=5,0%,H65&lt;=10,5%,H65&lt;=15,10%,H65&lt;=20,15%,H65&gt;20,20%)</f>
        <v>0.15</v>
      </c>
      <c r="L65" s="6">
        <f t="shared" si="0"/>
        <v>15172.5</v>
      </c>
      <c r="M65" s="6" cm="1">
        <f t="array" ref="M65">L65*_xlfn.IFS(L65&lt;=5000,0.02,L65&lt;=15000,0.04,L65&gt;15000,0.06)</f>
        <v>910.35</v>
      </c>
      <c r="N65" s="6">
        <f t="shared" si="1"/>
        <v>2252.5</v>
      </c>
      <c r="O65" s="8">
        <f t="shared" si="2"/>
        <v>0.1484593837535014</v>
      </c>
    </row>
    <row r="66" spans="1:15" x14ac:dyDescent="0.45">
      <c r="A66" t="s">
        <v>148</v>
      </c>
      <c r="B66" s="4">
        <v>45633</v>
      </c>
      <c r="C66" t="s">
        <v>38</v>
      </c>
      <c r="D66" t="s">
        <v>79</v>
      </c>
      <c r="E66" t="s">
        <v>14</v>
      </c>
      <c r="F66" t="str">
        <f>_xlfn.XLOOKUP(C66,Salespeople!$A$2:$A$11,Salespeople!$C$2:$C$11)</f>
        <v>Americas</v>
      </c>
      <c r="G66" t="str">
        <f>_xlfn.XLOOKUP(C66,Salespeople!$A$2:$A$11,Salespeople!$D$2:$D$11)</f>
        <v>Brazil</v>
      </c>
      <c r="H66" s="3">
        <v>4</v>
      </c>
      <c r="I66" s="5">
        <f>_xlfn.XLOOKUP($D66,Products!$A$2:$A$16,Products!$D$2:$D$16)</f>
        <v>240</v>
      </c>
      <c r="J66" s="5">
        <f>_xlfn.XLOOKUP(Sales!$D66,Products!$A$2:$A$16,Products!$E$2:$E$16)</f>
        <v>150</v>
      </c>
      <c r="K66" s="8" cm="1">
        <f t="array" ref="K66">_xlfn.IFS(H66&lt;=5,0%,H66&lt;=10,5%,H66&lt;=15,10%,H66&lt;=20,15%,H66&gt;20,20%)</f>
        <v>0</v>
      </c>
      <c r="L66" s="6">
        <f t="shared" si="0"/>
        <v>960</v>
      </c>
      <c r="M66" s="6" cm="1">
        <f t="array" ref="M66">L66*_xlfn.IFS(L66&lt;=5000,0.02,L66&lt;=15000,0.04,L66&gt;15000,0.06)</f>
        <v>19.2</v>
      </c>
      <c r="N66" s="6">
        <f t="shared" si="1"/>
        <v>360</v>
      </c>
      <c r="O66" s="8">
        <f t="shared" si="2"/>
        <v>0.375</v>
      </c>
    </row>
    <row r="67" spans="1:15" x14ac:dyDescent="0.45">
      <c r="A67" t="s">
        <v>149</v>
      </c>
      <c r="B67" s="4">
        <v>45427</v>
      </c>
      <c r="C67" t="s">
        <v>17</v>
      </c>
      <c r="D67" t="s">
        <v>91</v>
      </c>
      <c r="E67" t="s">
        <v>23</v>
      </c>
      <c r="F67" t="str">
        <f>_xlfn.XLOOKUP(C67,Salespeople!$A$2:$A$11,Salespeople!$C$2:$C$11)</f>
        <v>EMEA</v>
      </c>
      <c r="G67" t="str">
        <f>_xlfn.XLOOKUP(C67,Salespeople!$A$2:$A$11,Salespeople!$D$2:$D$11)</f>
        <v>Portugal</v>
      </c>
      <c r="H67" s="3">
        <v>24</v>
      </c>
      <c r="I67" s="5">
        <f>_xlfn.XLOOKUP($D67,Products!$A$2:$A$16,Products!$D$2:$D$16)</f>
        <v>160</v>
      </c>
      <c r="J67" s="5">
        <f>_xlfn.XLOOKUP(Sales!$D67,Products!$A$2:$A$16,Products!$E$2:$E$16)</f>
        <v>88</v>
      </c>
      <c r="K67" s="8" cm="1">
        <f t="array" ref="K67">_xlfn.IFS(H67&lt;=5,0%,H67&lt;=10,5%,H67&lt;=15,10%,H67&lt;=20,15%,H67&gt;20,20%)</f>
        <v>0.2</v>
      </c>
      <c r="L67" s="6">
        <f t="shared" ref="L67:L130" si="3">H67*I67*(1-K67)</f>
        <v>3072</v>
      </c>
      <c r="M67" s="6" cm="1">
        <f t="array" ref="M67">L67*_xlfn.IFS(L67&lt;=5000,0.02,L67&lt;=15000,0.04,L67&gt;15000,0.06)</f>
        <v>61.44</v>
      </c>
      <c r="N67" s="6">
        <f t="shared" ref="N67:N130" si="4">L67-(H67*J67)</f>
        <v>960</v>
      </c>
      <c r="O67" s="8">
        <f t="shared" ref="O67:O130" si="5">N67/L67</f>
        <v>0.3125</v>
      </c>
    </row>
    <row r="68" spans="1:15" x14ac:dyDescent="0.45">
      <c r="A68" t="s">
        <v>150</v>
      </c>
      <c r="B68" s="4">
        <v>45431</v>
      </c>
      <c r="C68" t="s">
        <v>66</v>
      </c>
      <c r="D68" t="s">
        <v>40</v>
      </c>
      <c r="E68" t="s">
        <v>23</v>
      </c>
      <c r="F68" t="str">
        <f>_xlfn.XLOOKUP(C68,Salespeople!$A$2:$A$11,Salespeople!$C$2:$C$11)</f>
        <v>Americas</v>
      </c>
      <c r="G68" t="str">
        <f>_xlfn.XLOOKUP(C68,Salespeople!$A$2:$A$11,Salespeople!$D$2:$D$11)</f>
        <v>United States</v>
      </c>
      <c r="H68" s="3">
        <v>23</v>
      </c>
      <c r="I68" s="5">
        <f>_xlfn.XLOOKUP($D68,Products!$A$2:$A$16,Products!$D$2:$D$16)</f>
        <v>1050</v>
      </c>
      <c r="J68" s="5">
        <f>_xlfn.XLOOKUP(Sales!$D68,Products!$A$2:$A$16,Products!$E$2:$E$16)</f>
        <v>760</v>
      </c>
      <c r="K68" s="8" cm="1">
        <f t="array" ref="K68">_xlfn.IFS(H68&lt;=5,0%,H68&lt;=10,5%,H68&lt;=15,10%,H68&lt;=20,15%,H68&gt;20,20%)</f>
        <v>0.2</v>
      </c>
      <c r="L68" s="6">
        <f t="shared" si="3"/>
        <v>19320</v>
      </c>
      <c r="M68" s="6" cm="1">
        <f t="array" ref="M68">L68*_xlfn.IFS(L68&lt;=5000,0.02,L68&lt;=15000,0.04,L68&gt;15000,0.06)</f>
        <v>1159.2</v>
      </c>
      <c r="N68" s="6">
        <f t="shared" si="4"/>
        <v>1840</v>
      </c>
      <c r="O68" s="8">
        <f t="shared" si="5"/>
        <v>9.5238095238095233E-2</v>
      </c>
    </row>
    <row r="69" spans="1:15" x14ac:dyDescent="0.45">
      <c r="A69" t="s">
        <v>151</v>
      </c>
      <c r="B69" s="4">
        <v>45396</v>
      </c>
      <c r="C69" t="s">
        <v>66</v>
      </c>
      <c r="D69" t="s">
        <v>62</v>
      </c>
      <c r="E69" t="s">
        <v>48</v>
      </c>
      <c r="F69" t="str">
        <f>_xlfn.XLOOKUP(C69,Salespeople!$A$2:$A$11,Salespeople!$C$2:$C$11)</f>
        <v>Americas</v>
      </c>
      <c r="G69" t="str">
        <f>_xlfn.XLOOKUP(C69,Salespeople!$A$2:$A$11,Salespeople!$D$2:$D$11)</f>
        <v>United States</v>
      </c>
      <c r="H69" s="3">
        <v>9</v>
      </c>
      <c r="I69" s="5">
        <f>_xlfn.XLOOKUP($D69,Products!$A$2:$A$16,Products!$D$2:$D$16)</f>
        <v>1750</v>
      </c>
      <c r="J69" s="5">
        <f>_xlfn.XLOOKUP(Sales!$D69,Products!$A$2:$A$16,Products!$E$2:$E$16)</f>
        <v>1300</v>
      </c>
      <c r="K69" s="8" cm="1">
        <f t="array" ref="K69">_xlfn.IFS(H69&lt;=5,0%,H69&lt;=10,5%,H69&lt;=15,10%,H69&lt;=20,15%,H69&gt;20,20%)</f>
        <v>0.05</v>
      </c>
      <c r="L69" s="6">
        <f t="shared" si="3"/>
        <v>14962.5</v>
      </c>
      <c r="M69" s="6" cm="1">
        <f t="array" ref="M69">L69*_xlfn.IFS(L69&lt;=5000,0.02,L69&lt;=15000,0.04,L69&gt;15000,0.06)</f>
        <v>598.5</v>
      </c>
      <c r="N69" s="6">
        <f t="shared" si="4"/>
        <v>3262.5</v>
      </c>
      <c r="O69" s="8">
        <f t="shared" si="5"/>
        <v>0.21804511278195488</v>
      </c>
    </row>
    <row r="70" spans="1:15" x14ac:dyDescent="0.45">
      <c r="A70" t="s">
        <v>152</v>
      </c>
      <c r="B70" s="4">
        <v>45339</v>
      </c>
      <c r="C70" t="s">
        <v>33</v>
      </c>
      <c r="D70" t="s">
        <v>68</v>
      </c>
      <c r="E70" t="s">
        <v>48</v>
      </c>
      <c r="F70" t="str">
        <f>_xlfn.XLOOKUP(C70,Salespeople!$A$2:$A$11,Salespeople!$C$2:$C$11)</f>
        <v>EMEA</v>
      </c>
      <c r="G70" t="str">
        <f>_xlfn.XLOOKUP(C70,Salespeople!$A$2:$A$11,Salespeople!$D$2:$D$11)</f>
        <v>Kenya</v>
      </c>
      <c r="H70" s="3">
        <v>2</v>
      </c>
      <c r="I70" s="5">
        <f>_xlfn.XLOOKUP($D70,Products!$A$2:$A$16,Products!$D$2:$D$16)</f>
        <v>110</v>
      </c>
      <c r="J70" s="5">
        <f>_xlfn.XLOOKUP(Sales!$D70,Products!$A$2:$A$16,Products!$E$2:$E$16)</f>
        <v>55</v>
      </c>
      <c r="K70" s="8" cm="1">
        <f t="array" ref="K70">_xlfn.IFS(H70&lt;=5,0%,H70&lt;=10,5%,H70&lt;=15,10%,H70&lt;=20,15%,H70&gt;20,20%)</f>
        <v>0</v>
      </c>
      <c r="L70" s="6">
        <f t="shared" si="3"/>
        <v>220</v>
      </c>
      <c r="M70" s="6" cm="1">
        <f t="array" ref="M70">L70*_xlfn.IFS(L70&lt;=5000,0.02,L70&lt;=15000,0.04,L70&gt;15000,0.06)</f>
        <v>4.4000000000000004</v>
      </c>
      <c r="N70" s="6">
        <f t="shared" si="4"/>
        <v>110</v>
      </c>
      <c r="O70" s="8">
        <f t="shared" si="5"/>
        <v>0.5</v>
      </c>
    </row>
    <row r="71" spans="1:15" x14ac:dyDescent="0.45">
      <c r="A71" t="s">
        <v>153</v>
      </c>
      <c r="B71" s="4">
        <v>45462</v>
      </c>
      <c r="C71" t="s">
        <v>26</v>
      </c>
      <c r="D71" t="s">
        <v>74</v>
      </c>
      <c r="E71" t="s">
        <v>48</v>
      </c>
      <c r="F71" t="str">
        <f>_xlfn.XLOOKUP(C71,Salespeople!$A$2:$A$11,Salespeople!$C$2:$C$11)</f>
        <v>APAC</v>
      </c>
      <c r="G71" t="str">
        <f>_xlfn.XLOOKUP(C71,Salespeople!$A$2:$A$11,Salespeople!$D$2:$D$11)</f>
        <v>Singapore</v>
      </c>
      <c r="H71" s="3">
        <v>6</v>
      </c>
      <c r="I71" s="5">
        <f>_xlfn.XLOOKUP($D71,Products!$A$2:$A$16,Products!$D$2:$D$16)</f>
        <v>210</v>
      </c>
      <c r="J71" s="5">
        <f>_xlfn.XLOOKUP(Sales!$D71,Products!$A$2:$A$16,Products!$E$2:$E$16)</f>
        <v>120</v>
      </c>
      <c r="K71" s="8" cm="1">
        <f t="array" ref="K71">_xlfn.IFS(H71&lt;=5,0%,H71&lt;=10,5%,H71&lt;=15,10%,H71&lt;=20,15%,H71&gt;20,20%)</f>
        <v>0.05</v>
      </c>
      <c r="L71" s="6">
        <f t="shared" si="3"/>
        <v>1197</v>
      </c>
      <c r="M71" s="6" cm="1">
        <f t="array" ref="M71">L71*_xlfn.IFS(L71&lt;=5000,0.02,L71&lt;=15000,0.04,L71&gt;15000,0.06)</f>
        <v>23.94</v>
      </c>
      <c r="N71" s="6">
        <f t="shared" si="4"/>
        <v>477</v>
      </c>
      <c r="O71" s="8">
        <f t="shared" si="5"/>
        <v>0.39849624060150374</v>
      </c>
    </row>
    <row r="72" spans="1:15" x14ac:dyDescent="0.45">
      <c r="A72" t="s">
        <v>154</v>
      </c>
      <c r="B72" s="4">
        <v>45574</v>
      </c>
      <c r="C72" t="s">
        <v>33</v>
      </c>
      <c r="D72" t="s">
        <v>62</v>
      </c>
      <c r="E72" t="s">
        <v>23</v>
      </c>
      <c r="F72" t="str">
        <f>_xlfn.XLOOKUP(C72,Salespeople!$A$2:$A$11,Salespeople!$C$2:$C$11)</f>
        <v>EMEA</v>
      </c>
      <c r="G72" t="str">
        <f>_xlfn.XLOOKUP(C72,Salespeople!$A$2:$A$11,Salespeople!$D$2:$D$11)</f>
        <v>Kenya</v>
      </c>
      <c r="H72" s="3">
        <v>4</v>
      </c>
      <c r="I72" s="5">
        <f>_xlfn.XLOOKUP($D72,Products!$A$2:$A$16,Products!$D$2:$D$16)</f>
        <v>1750</v>
      </c>
      <c r="J72" s="5">
        <f>_xlfn.XLOOKUP(Sales!$D72,Products!$A$2:$A$16,Products!$E$2:$E$16)</f>
        <v>1300</v>
      </c>
      <c r="K72" s="8" cm="1">
        <f t="array" ref="K72">_xlfn.IFS(H72&lt;=5,0%,H72&lt;=10,5%,H72&lt;=15,10%,H72&lt;=20,15%,H72&gt;20,20%)</f>
        <v>0</v>
      </c>
      <c r="L72" s="6">
        <f t="shared" si="3"/>
        <v>7000</v>
      </c>
      <c r="M72" s="6" cm="1">
        <f t="array" ref="M72">L72*_xlfn.IFS(L72&lt;=5000,0.02,L72&lt;=15000,0.04,L72&gt;15000,0.06)</f>
        <v>280</v>
      </c>
      <c r="N72" s="6">
        <f t="shared" si="4"/>
        <v>1800</v>
      </c>
      <c r="O72" s="8">
        <f t="shared" si="5"/>
        <v>0.25714285714285712</v>
      </c>
    </row>
    <row r="73" spans="1:15" x14ac:dyDescent="0.45">
      <c r="A73" t="s">
        <v>155</v>
      </c>
      <c r="B73" s="4">
        <v>45645</v>
      </c>
      <c r="C73" t="s">
        <v>26</v>
      </c>
      <c r="D73" t="s">
        <v>62</v>
      </c>
      <c r="E73" t="s">
        <v>23</v>
      </c>
      <c r="F73" t="str">
        <f>_xlfn.XLOOKUP(C73,Salespeople!$A$2:$A$11,Salespeople!$C$2:$C$11)</f>
        <v>APAC</v>
      </c>
      <c r="G73" t="str">
        <f>_xlfn.XLOOKUP(C73,Salespeople!$A$2:$A$11,Salespeople!$D$2:$D$11)</f>
        <v>Singapore</v>
      </c>
      <c r="H73" s="3">
        <v>12</v>
      </c>
      <c r="I73" s="5">
        <f>_xlfn.XLOOKUP($D73,Products!$A$2:$A$16,Products!$D$2:$D$16)</f>
        <v>1750</v>
      </c>
      <c r="J73" s="5">
        <f>_xlfn.XLOOKUP(Sales!$D73,Products!$A$2:$A$16,Products!$E$2:$E$16)</f>
        <v>1300</v>
      </c>
      <c r="K73" s="8" cm="1">
        <f t="array" ref="K73">_xlfn.IFS(H73&lt;=5,0%,H73&lt;=10,5%,H73&lt;=15,10%,H73&lt;=20,15%,H73&gt;20,20%)</f>
        <v>0.1</v>
      </c>
      <c r="L73" s="6">
        <f t="shared" si="3"/>
        <v>18900</v>
      </c>
      <c r="M73" s="6" cm="1">
        <f t="array" ref="M73">L73*_xlfn.IFS(L73&lt;=5000,0.02,L73&lt;=15000,0.04,L73&gt;15000,0.06)</f>
        <v>1134</v>
      </c>
      <c r="N73" s="6">
        <f t="shared" si="4"/>
        <v>3300</v>
      </c>
      <c r="O73" s="8">
        <f t="shared" si="5"/>
        <v>0.17460317460317459</v>
      </c>
    </row>
    <row r="74" spans="1:15" x14ac:dyDescent="0.45">
      <c r="A74" t="s">
        <v>156</v>
      </c>
      <c r="B74" s="4">
        <v>45512</v>
      </c>
      <c r="C74" t="s">
        <v>26</v>
      </c>
      <c r="D74" t="s">
        <v>19</v>
      </c>
      <c r="E74" t="s">
        <v>48</v>
      </c>
      <c r="F74" t="str">
        <f>_xlfn.XLOOKUP(C74,Salespeople!$A$2:$A$11,Salespeople!$C$2:$C$11)</f>
        <v>APAC</v>
      </c>
      <c r="G74" t="str">
        <f>_xlfn.XLOOKUP(C74,Salespeople!$A$2:$A$11,Salespeople!$D$2:$D$11)</f>
        <v>Singapore</v>
      </c>
      <c r="H74" s="3">
        <v>12</v>
      </c>
      <c r="I74" s="5">
        <f>_xlfn.XLOOKUP($D74,Products!$A$2:$A$16,Products!$D$2:$D$16)</f>
        <v>25</v>
      </c>
      <c r="J74" s="5">
        <f>_xlfn.XLOOKUP(Sales!$D74,Products!$A$2:$A$16,Products!$E$2:$E$16)</f>
        <v>11</v>
      </c>
      <c r="K74" s="8" cm="1">
        <f t="array" ref="K74">_xlfn.IFS(H74&lt;=5,0%,H74&lt;=10,5%,H74&lt;=15,10%,H74&lt;=20,15%,H74&gt;20,20%)</f>
        <v>0.1</v>
      </c>
      <c r="L74" s="6">
        <f t="shared" si="3"/>
        <v>270</v>
      </c>
      <c r="M74" s="6" cm="1">
        <f t="array" ref="M74">L74*_xlfn.IFS(L74&lt;=5000,0.02,L74&lt;=15000,0.04,L74&gt;15000,0.06)</f>
        <v>5.4</v>
      </c>
      <c r="N74" s="6">
        <f t="shared" si="4"/>
        <v>138</v>
      </c>
      <c r="O74" s="8">
        <f t="shared" si="5"/>
        <v>0.51111111111111107</v>
      </c>
    </row>
    <row r="75" spans="1:15" x14ac:dyDescent="0.45">
      <c r="A75" t="s">
        <v>157</v>
      </c>
      <c r="B75" s="4">
        <v>45475</v>
      </c>
      <c r="C75" t="s">
        <v>51</v>
      </c>
      <c r="D75" t="s">
        <v>74</v>
      </c>
      <c r="E75" t="s">
        <v>23</v>
      </c>
      <c r="F75" t="str">
        <f>_xlfn.XLOOKUP(C75,Salespeople!$A$2:$A$11,Salespeople!$C$2:$C$11)</f>
        <v>Americas</v>
      </c>
      <c r="G75" t="str">
        <f>_xlfn.XLOOKUP(C75,Salespeople!$A$2:$A$11,Salespeople!$D$2:$D$11)</f>
        <v>Mexico</v>
      </c>
      <c r="H75" s="3">
        <v>22</v>
      </c>
      <c r="I75" s="5">
        <f>_xlfn.XLOOKUP($D75,Products!$A$2:$A$16,Products!$D$2:$D$16)</f>
        <v>210</v>
      </c>
      <c r="J75" s="5">
        <f>_xlfn.XLOOKUP(Sales!$D75,Products!$A$2:$A$16,Products!$E$2:$E$16)</f>
        <v>120</v>
      </c>
      <c r="K75" s="8" cm="1">
        <f t="array" ref="K75">_xlfn.IFS(H75&lt;=5,0%,H75&lt;=10,5%,H75&lt;=15,10%,H75&lt;=20,15%,H75&gt;20,20%)</f>
        <v>0.2</v>
      </c>
      <c r="L75" s="6">
        <f t="shared" si="3"/>
        <v>3696</v>
      </c>
      <c r="M75" s="6" cm="1">
        <f t="array" ref="M75">L75*_xlfn.IFS(L75&lt;=5000,0.02,L75&lt;=15000,0.04,L75&gt;15000,0.06)</f>
        <v>73.92</v>
      </c>
      <c r="N75" s="6">
        <f t="shared" si="4"/>
        <v>1056</v>
      </c>
      <c r="O75" s="8">
        <f t="shared" si="5"/>
        <v>0.2857142857142857</v>
      </c>
    </row>
    <row r="76" spans="1:15" x14ac:dyDescent="0.45">
      <c r="A76" t="s">
        <v>158</v>
      </c>
      <c r="B76" s="4">
        <v>45473</v>
      </c>
      <c r="C76" t="s">
        <v>38</v>
      </c>
      <c r="D76" t="s">
        <v>91</v>
      </c>
      <c r="E76" t="s">
        <v>48</v>
      </c>
      <c r="F76" t="str">
        <f>_xlfn.XLOOKUP(C76,Salespeople!$A$2:$A$11,Salespeople!$C$2:$C$11)</f>
        <v>Americas</v>
      </c>
      <c r="G76" t="str">
        <f>_xlfn.XLOOKUP(C76,Salespeople!$A$2:$A$11,Salespeople!$D$2:$D$11)</f>
        <v>Brazil</v>
      </c>
      <c r="H76" s="3">
        <v>20</v>
      </c>
      <c r="I76" s="5">
        <f>_xlfn.XLOOKUP($D76,Products!$A$2:$A$16,Products!$D$2:$D$16)</f>
        <v>160</v>
      </c>
      <c r="J76" s="5">
        <f>_xlfn.XLOOKUP(Sales!$D76,Products!$A$2:$A$16,Products!$E$2:$E$16)</f>
        <v>88</v>
      </c>
      <c r="K76" s="8" cm="1">
        <f t="array" ref="K76">_xlfn.IFS(H76&lt;=5,0%,H76&lt;=10,5%,H76&lt;=15,10%,H76&lt;=20,15%,H76&gt;20,20%)</f>
        <v>0.15</v>
      </c>
      <c r="L76" s="6">
        <f t="shared" si="3"/>
        <v>2720</v>
      </c>
      <c r="M76" s="6" cm="1">
        <f t="array" ref="M76">L76*_xlfn.IFS(L76&lt;=5000,0.02,L76&lt;=15000,0.04,L76&gt;15000,0.06)</f>
        <v>54.4</v>
      </c>
      <c r="N76" s="6">
        <f t="shared" si="4"/>
        <v>960</v>
      </c>
      <c r="O76" s="8">
        <f t="shared" si="5"/>
        <v>0.35294117647058826</v>
      </c>
    </row>
    <row r="77" spans="1:15" x14ac:dyDescent="0.45">
      <c r="A77" t="s">
        <v>159</v>
      </c>
      <c r="B77" s="4">
        <v>45413</v>
      </c>
      <c r="C77" t="s">
        <v>26</v>
      </c>
      <c r="D77" t="s">
        <v>53</v>
      </c>
      <c r="E77" t="s">
        <v>23</v>
      </c>
      <c r="F77" t="str">
        <f>_xlfn.XLOOKUP(C77,Salespeople!$A$2:$A$11,Salespeople!$C$2:$C$11)</f>
        <v>APAC</v>
      </c>
      <c r="G77" t="str">
        <f>_xlfn.XLOOKUP(C77,Salespeople!$A$2:$A$11,Salespeople!$D$2:$D$11)</f>
        <v>Singapore</v>
      </c>
      <c r="H77" s="3">
        <v>14</v>
      </c>
      <c r="I77" s="5">
        <f>_xlfn.XLOOKUP($D77,Products!$A$2:$A$16,Products!$D$2:$D$16)</f>
        <v>130</v>
      </c>
      <c r="J77" s="5">
        <f>_xlfn.XLOOKUP(Sales!$D77,Products!$A$2:$A$16,Products!$E$2:$E$16)</f>
        <v>62</v>
      </c>
      <c r="K77" s="8" cm="1">
        <f t="array" ref="K77">_xlfn.IFS(H77&lt;=5,0%,H77&lt;=10,5%,H77&lt;=15,10%,H77&lt;=20,15%,H77&gt;20,20%)</f>
        <v>0.1</v>
      </c>
      <c r="L77" s="6">
        <f t="shared" si="3"/>
        <v>1638</v>
      </c>
      <c r="M77" s="6" cm="1">
        <f t="array" ref="M77">L77*_xlfn.IFS(L77&lt;=5000,0.02,L77&lt;=15000,0.04,L77&gt;15000,0.06)</f>
        <v>32.76</v>
      </c>
      <c r="N77" s="6">
        <f t="shared" si="4"/>
        <v>770</v>
      </c>
      <c r="O77" s="8">
        <f t="shared" si="5"/>
        <v>0.47008547008547008</v>
      </c>
    </row>
    <row r="78" spans="1:15" x14ac:dyDescent="0.45">
      <c r="A78" t="s">
        <v>160</v>
      </c>
      <c r="B78" s="4">
        <v>45383</v>
      </c>
      <c r="C78" t="s">
        <v>83</v>
      </c>
      <c r="D78" t="s">
        <v>53</v>
      </c>
      <c r="E78" t="s">
        <v>48</v>
      </c>
      <c r="F78" t="str">
        <f>_xlfn.XLOOKUP(C78,Salespeople!$A$2:$A$11,Salespeople!$C$2:$C$11)</f>
        <v>EMEA</v>
      </c>
      <c r="G78" t="str">
        <f>_xlfn.XLOOKUP(C78,Salespeople!$A$2:$A$11,Salespeople!$D$2:$D$11)</f>
        <v>United Arab Emirates</v>
      </c>
      <c r="H78" s="3">
        <v>22</v>
      </c>
      <c r="I78" s="5">
        <f>_xlfn.XLOOKUP($D78,Products!$A$2:$A$16,Products!$D$2:$D$16)</f>
        <v>130</v>
      </c>
      <c r="J78" s="5">
        <f>_xlfn.XLOOKUP(Sales!$D78,Products!$A$2:$A$16,Products!$E$2:$E$16)</f>
        <v>62</v>
      </c>
      <c r="K78" s="8" cm="1">
        <f t="array" ref="K78">_xlfn.IFS(H78&lt;=5,0%,H78&lt;=10,5%,H78&lt;=15,10%,H78&lt;=20,15%,H78&gt;20,20%)</f>
        <v>0.2</v>
      </c>
      <c r="L78" s="6">
        <f t="shared" si="3"/>
        <v>2288</v>
      </c>
      <c r="M78" s="6" cm="1">
        <f t="array" ref="M78">L78*_xlfn.IFS(L78&lt;=5000,0.02,L78&lt;=15000,0.04,L78&gt;15000,0.06)</f>
        <v>45.76</v>
      </c>
      <c r="N78" s="6">
        <f t="shared" si="4"/>
        <v>924</v>
      </c>
      <c r="O78" s="8">
        <f t="shared" si="5"/>
        <v>0.40384615384615385</v>
      </c>
    </row>
    <row r="79" spans="1:15" x14ac:dyDescent="0.45">
      <c r="A79" t="s">
        <v>161</v>
      </c>
      <c r="B79" s="4">
        <v>45428</v>
      </c>
      <c r="C79" t="s">
        <v>26</v>
      </c>
      <c r="D79" t="s">
        <v>53</v>
      </c>
      <c r="E79" t="s">
        <v>14</v>
      </c>
      <c r="F79" t="str">
        <f>_xlfn.XLOOKUP(C79,Salespeople!$A$2:$A$11,Salespeople!$C$2:$C$11)</f>
        <v>APAC</v>
      </c>
      <c r="G79" t="str">
        <f>_xlfn.XLOOKUP(C79,Salespeople!$A$2:$A$11,Salespeople!$D$2:$D$11)</f>
        <v>Singapore</v>
      </c>
      <c r="H79" s="3">
        <v>4</v>
      </c>
      <c r="I79" s="5">
        <f>_xlfn.XLOOKUP($D79,Products!$A$2:$A$16,Products!$D$2:$D$16)</f>
        <v>130</v>
      </c>
      <c r="J79" s="5">
        <f>_xlfn.XLOOKUP(Sales!$D79,Products!$A$2:$A$16,Products!$E$2:$E$16)</f>
        <v>62</v>
      </c>
      <c r="K79" s="8" cm="1">
        <f t="array" ref="K79">_xlfn.IFS(H79&lt;=5,0%,H79&lt;=10,5%,H79&lt;=15,10%,H79&lt;=20,15%,H79&gt;20,20%)</f>
        <v>0</v>
      </c>
      <c r="L79" s="6">
        <f t="shared" si="3"/>
        <v>520</v>
      </c>
      <c r="M79" s="6" cm="1">
        <f t="array" ref="M79">L79*_xlfn.IFS(L79&lt;=5000,0.02,L79&lt;=15000,0.04,L79&gt;15000,0.06)</f>
        <v>10.4</v>
      </c>
      <c r="N79" s="6">
        <f t="shared" si="4"/>
        <v>272</v>
      </c>
      <c r="O79" s="8">
        <f t="shared" si="5"/>
        <v>0.52307692307692311</v>
      </c>
    </row>
    <row r="80" spans="1:15" x14ac:dyDescent="0.45">
      <c r="A80" t="s">
        <v>162</v>
      </c>
      <c r="B80" s="4">
        <v>45311</v>
      </c>
      <c r="C80" t="s">
        <v>60</v>
      </c>
      <c r="D80" t="s">
        <v>88</v>
      </c>
      <c r="E80" t="s">
        <v>23</v>
      </c>
      <c r="F80" t="str">
        <f>_xlfn.XLOOKUP(C80,Salespeople!$A$2:$A$11,Salespeople!$C$2:$C$11)</f>
        <v>APAC</v>
      </c>
      <c r="G80" t="str">
        <f>_xlfn.XLOOKUP(C80,Salespeople!$A$2:$A$11,Salespeople!$D$2:$D$11)</f>
        <v>Japan</v>
      </c>
      <c r="H80" s="3">
        <v>15</v>
      </c>
      <c r="I80" s="5">
        <f>_xlfn.XLOOKUP($D80,Products!$A$2:$A$16,Products!$D$2:$D$16)</f>
        <v>35</v>
      </c>
      <c r="J80" s="5">
        <f>_xlfn.XLOOKUP(Sales!$D80,Products!$A$2:$A$16,Products!$E$2:$E$16)</f>
        <v>14</v>
      </c>
      <c r="K80" s="8" cm="1">
        <f t="array" ref="K80">_xlfn.IFS(H80&lt;=5,0%,H80&lt;=10,5%,H80&lt;=15,10%,H80&lt;=20,15%,H80&gt;20,20%)</f>
        <v>0.1</v>
      </c>
      <c r="L80" s="6">
        <f t="shared" si="3"/>
        <v>472.5</v>
      </c>
      <c r="M80" s="6" cm="1">
        <f t="array" ref="M80">L80*_xlfn.IFS(L80&lt;=5000,0.02,L80&lt;=15000,0.04,L80&gt;15000,0.06)</f>
        <v>9.4500000000000011</v>
      </c>
      <c r="N80" s="6">
        <f t="shared" si="4"/>
        <v>262.5</v>
      </c>
      <c r="O80" s="8">
        <f t="shared" si="5"/>
        <v>0.55555555555555558</v>
      </c>
    </row>
    <row r="81" spans="1:15" x14ac:dyDescent="0.45">
      <c r="A81" t="s">
        <v>163</v>
      </c>
      <c r="B81" s="4">
        <v>45448</v>
      </c>
      <c r="C81" t="s">
        <v>51</v>
      </c>
      <c r="D81" t="s">
        <v>88</v>
      </c>
      <c r="E81" t="s">
        <v>23</v>
      </c>
      <c r="F81" t="str">
        <f>_xlfn.XLOOKUP(C81,Salespeople!$A$2:$A$11,Salespeople!$C$2:$C$11)</f>
        <v>Americas</v>
      </c>
      <c r="G81" t="str">
        <f>_xlfn.XLOOKUP(C81,Salespeople!$A$2:$A$11,Salespeople!$D$2:$D$11)</f>
        <v>Mexico</v>
      </c>
      <c r="H81" s="3">
        <v>22</v>
      </c>
      <c r="I81" s="5">
        <f>_xlfn.XLOOKUP($D81,Products!$A$2:$A$16,Products!$D$2:$D$16)</f>
        <v>35</v>
      </c>
      <c r="J81" s="5">
        <f>_xlfn.XLOOKUP(Sales!$D81,Products!$A$2:$A$16,Products!$E$2:$E$16)</f>
        <v>14</v>
      </c>
      <c r="K81" s="8" cm="1">
        <f t="array" ref="K81">_xlfn.IFS(H81&lt;=5,0%,H81&lt;=10,5%,H81&lt;=15,10%,H81&lt;=20,15%,H81&gt;20,20%)</f>
        <v>0.2</v>
      </c>
      <c r="L81" s="6">
        <f t="shared" si="3"/>
        <v>616</v>
      </c>
      <c r="M81" s="6" cm="1">
        <f t="array" ref="M81">L81*_xlfn.IFS(L81&lt;=5000,0.02,L81&lt;=15000,0.04,L81&gt;15000,0.06)</f>
        <v>12.32</v>
      </c>
      <c r="N81" s="6">
        <f t="shared" si="4"/>
        <v>308</v>
      </c>
      <c r="O81" s="8">
        <f t="shared" si="5"/>
        <v>0.5</v>
      </c>
    </row>
    <row r="82" spans="1:15" x14ac:dyDescent="0.45">
      <c r="A82" t="s">
        <v>164</v>
      </c>
      <c r="B82" s="4">
        <v>45496</v>
      </c>
      <c r="C82" t="s">
        <v>83</v>
      </c>
      <c r="D82" t="s">
        <v>79</v>
      </c>
      <c r="E82" t="s">
        <v>23</v>
      </c>
      <c r="F82" t="str">
        <f>_xlfn.XLOOKUP(C82,Salespeople!$A$2:$A$11,Salespeople!$C$2:$C$11)</f>
        <v>EMEA</v>
      </c>
      <c r="G82" t="str">
        <f>_xlfn.XLOOKUP(C82,Salespeople!$A$2:$A$11,Salespeople!$D$2:$D$11)</f>
        <v>United Arab Emirates</v>
      </c>
      <c r="H82" s="3">
        <v>25</v>
      </c>
      <c r="I82" s="5">
        <f>_xlfn.XLOOKUP($D82,Products!$A$2:$A$16,Products!$D$2:$D$16)</f>
        <v>240</v>
      </c>
      <c r="J82" s="5">
        <f>_xlfn.XLOOKUP(Sales!$D82,Products!$A$2:$A$16,Products!$E$2:$E$16)</f>
        <v>150</v>
      </c>
      <c r="K82" s="8" cm="1">
        <f t="array" ref="K82">_xlfn.IFS(H82&lt;=5,0%,H82&lt;=10,5%,H82&lt;=15,10%,H82&lt;=20,15%,H82&gt;20,20%)</f>
        <v>0.2</v>
      </c>
      <c r="L82" s="6">
        <f t="shared" si="3"/>
        <v>4800</v>
      </c>
      <c r="M82" s="6" cm="1">
        <f t="array" ref="M82">L82*_xlfn.IFS(L82&lt;=5000,0.02,L82&lt;=15000,0.04,L82&gt;15000,0.06)</f>
        <v>96</v>
      </c>
      <c r="N82" s="6">
        <f t="shared" si="4"/>
        <v>1050</v>
      </c>
      <c r="O82" s="8">
        <f t="shared" si="5"/>
        <v>0.21875</v>
      </c>
    </row>
    <row r="83" spans="1:15" x14ac:dyDescent="0.45">
      <c r="A83" t="s">
        <v>165</v>
      </c>
      <c r="B83" s="4">
        <v>45471</v>
      </c>
      <c r="C83" t="s">
        <v>38</v>
      </c>
      <c r="D83" t="s">
        <v>44</v>
      </c>
      <c r="E83" t="s">
        <v>14</v>
      </c>
      <c r="F83" t="str">
        <f>_xlfn.XLOOKUP(C83,Salespeople!$A$2:$A$11,Salespeople!$C$2:$C$11)</f>
        <v>Americas</v>
      </c>
      <c r="G83" t="str">
        <f>_xlfn.XLOOKUP(C83,Salespeople!$A$2:$A$11,Salespeople!$D$2:$D$11)</f>
        <v>Brazil</v>
      </c>
      <c r="H83" s="3">
        <v>18</v>
      </c>
      <c r="I83" s="5">
        <f>_xlfn.XLOOKUP($D83,Products!$A$2:$A$16,Products!$D$2:$D$16)</f>
        <v>180</v>
      </c>
      <c r="J83" s="5">
        <f>_xlfn.XLOOKUP(Sales!$D83,Products!$A$2:$A$16,Products!$E$2:$E$16)</f>
        <v>105</v>
      </c>
      <c r="K83" s="8" cm="1">
        <f t="array" ref="K83">_xlfn.IFS(H83&lt;=5,0%,H83&lt;=10,5%,H83&lt;=15,10%,H83&lt;=20,15%,H83&gt;20,20%)</f>
        <v>0.15</v>
      </c>
      <c r="L83" s="6">
        <f t="shared" si="3"/>
        <v>2754</v>
      </c>
      <c r="M83" s="6" cm="1">
        <f t="array" ref="M83">L83*_xlfn.IFS(L83&lt;=5000,0.02,L83&lt;=15000,0.04,L83&gt;15000,0.06)</f>
        <v>55.08</v>
      </c>
      <c r="N83" s="6">
        <f t="shared" si="4"/>
        <v>864</v>
      </c>
      <c r="O83" s="8">
        <f t="shared" si="5"/>
        <v>0.31372549019607843</v>
      </c>
    </row>
    <row r="84" spans="1:15" x14ac:dyDescent="0.45">
      <c r="A84" t="s">
        <v>166</v>
      </c>
      <c r="B84" s="4">
        <v>45306</v>
      </c>
      <c r="C84" t="s">
        <v>17</v>
      </c>
      <c r="D84" t="s">
        <v>91</v>
      </c>
      <c r="E84" t="s">
        <v>48</v>
      </c>
      <c r="F84" t="str">
        <f>_xlfn.XLOOKUP(C84,Salespeople!$A$2:$A$11,Salespeople!$C$2:$C$11)</f>
        <v>EMEA</v>
      </c>
      <c r="G84" t="str">
        <f>_xlfn.XLOOKUP(C84,Salespeople!$A$2:$A$11,Salespeople!$D$2:$D$11)</f>
        <v>Portugal</v>
      </c>
      <c r="H84" s="3">
        <v>6</v>
      </c>
      <c r="I84" s="5">
        <f>_xlfn.XLOOKUP($D84,Products!$A$2:$A$16,Products!$D$2:$D$16)</f>
        <v>160</v>
      </c>
      <c r="J84" s="5">
        <f>_xlfn.XLOOKUP(Sales!$D84,Products!$A$2:$A$16,Products!$E$2:$E$16)</f>
        <v>88</v>
      </c>
      <c r="K84" s="8" cm="1">
        <f t="array" ref="K84">_xlfn.IFS(H84&lt;=5,0%,H84&lt;=10,5%,H84&lt;=15,10%,H84&lt;=20,15%,H84&gt;20,20%)</f>
        <v>0.05</v>
      </c>
      <c r="L84" s="6">
        <f t="shared" si="3"/>
        <v>912</v>
      </c>
      <c r="M84" s="6" cm="1">
        <f t="array" ref="M84">L84*_xlfn.IFS(L84&lt;=5000,0.02,L84&lt;=15000,0.04,L84&gt;15000,0.06)</f>
        <v>18.240000000000002</v>
      </c>
      <c r="N84" s="6">
        <f t="shared" si="4"/>
        <v>384</v>
      </c>
      <c r="O84" s="8">
        <f t="shared" si="5"/>
        <v>0.42105263157894735</v>
      </c>
    </row>
    <row r="85" spans="1:15" x14ac:dyDescent="0.45">
      <c r="A85" t="s">
        <v>167</v>
      </c>
      <c r="B85" s="4">
        <v>45311</v>
      </c>
      <c r="C85" t="s">
        <v>17</v>
      </c>
      <c r="D85" t="s">
        <v>40</v>
      </c>
      <c r="E85" t="s">
        <v>48</v>
      </c>
      <c r="F85" t="str">
        <f>_xlfn.XLOOKUP(C85,Salespeople!$A$2:$A$11,Salespeople!$C$2:$C$11)</f>
        <v>EMEA</v>
      </c>
      <c r="G85" t="str">
        <f>_xlfn.XLOOKUP(C85,Salespeople!$A$2:$A$11,Salespeople!$D$2:$D$11)</f>
        <v>Portugal</v>
      </c>
      <c r="H85" s="3">
        <v>12</v>
      </c>
      <c r="I85" s="5">
        <f>_xlfn.XLOOKUP($D85,Products!$A$2:$A$16,Products!$D$2:$D$16)</f>
        <v>1050</v>
      </c>
      <c r="J85" s="5">
        <f>_xlfn.XLOOKUP(Sales!$D85,Products!$A$2:$A$16,Products!$E$2:$E$16)</f>
        <v>760</v>
      </c>
      <c r="K85" s="8" cm="1">
        <f t="array" ref="K85">_xlfn.IFS(H85&lt;=5,0%,H85&lt;=10,5%,H85&lt;=15,10%,H85&lt;=20,15%,H85&gt;20,20%)</f>
        <v>0.1</v>
      </c>
      <c r="L85" s="6">
        <f t="shared" si="3"/>
        <v>11340</v>
      </c>
      <c r="M85" s="6" cm="1">
        <f t="array" ref="M85">L85*_xlfn.IFS(L85&lt;=5000,0.02,L85&lt;=15000,0.04,L85&gt;15000,0.06)</f>
        <v>453.6</v>
      </c>
      <c r="N85" s="6">
        <f t="shared" si="4"/>
        <v>2220</v>
      </c>
      <c r="O85" s="8">
        <f t="shared" si="5"/>
        <v>0.19576719576719576</v>
      </c>
    </row>
    <row r="86" spans="1:15" x14ac:dyDescent="0.45">
      <c r="A86" t="s">
        <v>168</v>
      </c>
      <c r="B86" s="4">
        <v>45515</v>
      </c>
      <c r="C86" t="s">
        <v>139</v>
      </c>
      <c r="D86" t="s">
        <v>62</v>
      </c>
      <c r="E86" t="s">
        <v>23</v>
      </c>
      <c r="F86" t="str">
        <f>_xlfn.XLOOKUP(C86,Salespeople!$A$2:$A$11,Salespeople!$C$2:$C$11)</f>
        <v>Americas</v>
      </c>
      <c r="G86" t="str">
        <f>_xlfn.XLOOKUP(C86,Salespeople!$A$2:$A$11,Salespeople!$D$2:$D$11)</f>
        <v>Canada</v>
      </c>
      <c r="H86" s="3">
        <v>13</v>
      </c>
      <c r="I86" s="5">
        <f>_xlfn.XLOOKUP($D86,Products!$A$2:$A$16,Products!$D$2:$D$16)</f>
        <v>1750</v>
      </c>
      <c r="J86" s="5">
        <f>_xlfn.XLOOKUP(Sales!$D86,Products!$A$2:$A$16,Products!$E$2:$E$16)</f>
        <v>1300</v>
      </c>
      <c r="K86" s="8" cm="1">
        <f t="array" ref="K86">_xlfn.IFS(H86&lt;=5,0%,H86&lt;=10,5%,H86&lt;=15,10%,H86&lt;=20,15%,H86&gt;20,20%)</f>
        <v>0.1</v>
      </c>
      <c r="L86" s="6">
        <f t="shared" si="3"/>
        <v>20475</v>
      </c>
      <c r="M86" s="6" cm="1">
        <f t="array" ref="M86">L86*_xlfn.IFS(L86&lt;=5000,0.02,L86&lt;=15000,0.04,L86&gt;15000,0.06)</f>
        <v>1228.5</v>
      </c>
      <c r="N86" s="6">
        <f t="shared" si="4"/>
        <v>3575</v>
      </c>
      <c r="O86" s="8">
        <f t="shared" si="5"/>
        <v>0.17460317460317459</v>
      </c>
    </row>
    <row r="87" spans="1:15" x14ac:dyDescent="0.45">
      <c r="A87" t="s">
        <v>169</v>
      </c>
      <c r="B87" s="4">
        <v>45422</v>
      </c>
      <c r="C87" t="s">
        <v>131</v>
      </c>
      <c r="D87" t="s">
        <v>28</v>
      </c>
      <c r="E87" t="s">
        <v>48</v>
      </c>
      <c r="F87" t="str">
        <f>_xlfn.XLOOKUP(C87,Salespeople!$A$2:$A$11,Salespeople!$C$2:$C$11)</f>
        <v>EMEA</v>
      </c>
      <c r="G87" t="str">
        <f>_xlfn.XLOOKUP(C87,Salespeople!$A$2:$A$11,Salespeople!$D$2:$D$11)</f>
        <v>United Kingdom</v>
      </c>
      <c r="H87" s="3">
        <v>1</v>
      </c>
      <c r="I87" s="5">
        <f>_xlfn.XLOOKUP($D87,Products!$A$2:$A$16,Products!$D$2:$D$16)</f>
        <v>95</v>
      </c>
      <c r="J87" s="5">
        <f>_xlfn.XLOOKUP(Sales!$D87,Products!$A$2:$A$16,Products!$E$2:$E$16)</f>
        <v>44</v>
      </c>
      <c r="K87" s="8" cm="1">
        <f t="array" ref="K87">_xlfn.IFS(H87&lt;=5,0%,H87&lt;=10,5%,H87&lt;=15,10%,H87&lt;=20,15%,H87&gt;20,20%)</f>
        <v>0</v>
      </c>
      <c r="L87" s="6">
        <f t="shared" si="3"/>
        <v>95</v>
      </c>
      <c r="M87" s="6" cm="1">
        <f t="array" ref="M87">L87*_xlfn.IFS(L87&lt;=5000,0.02,L87&lt;=15000,0.04,L87&gt;15000,0.06)</f>
        <v>1.9000000000000001</v>
      </c>
      <c r="N87" s="6">
        <f t="shared" si="4"/>
        <v>51</v>
      </c>
      <c r="O87" s="8">
        <f t="shared" si="5"/>
        <v>0.5368421052631579</v>
      </c>
    </row>
    <row r="88" spans="1:15" x14ac:dyDescent="0.45">
      <c r="A88" t="s">
        <v>170</v>
      </c>
      <c r="B88" s="4">
        <v>45478</v>
      </c>
      <c r="C88" t="s">
        <v>33</v>
      </c>
      <c r="D88" t="s">
        <v>134</v>
      </c>
      <c r="E88" t="s">
        <v>14</v>
      </c>
      <c r="F88" t="str">
        <f>_xlfn.XLOOKUP(C88,Salespeople!$A$2:$A$11,Salespeople!$C$2:$C$11)</f>
        <v>EMEA</v>
      </c>
      <c r="G88" t="str">
        <f>_xlfn.XLOOKUP(C88,Salespeople!$A$2:$A$11,Salespeople!$D$2:$D$11)</f>
        <v>Kenya</v>
      </c>
      <c r="H88" s="3">
        <v>11</v>
      </c>
      <c r="I88" s="5">
        <f>_xlfn.XLOOKUP($D88,Products!$A$2:$A$16,Products!$D$2:$D$16)</f>
        <v>79</v>
      </c>
      <c r="J88" s="5">
        <f>_xlfn.XLOOKUP(Sales!$D88,Products!$A$2:$A$16,Products!$E$2:$E$16)</f>
        <v>38</v>
      </c>
      <c r="K88" s="8" cm="1">
        <f t="array" ref="K88">_xlfn.IFS(H88&lt;=5,0%,H88&lt;=10,5%,H88&lt;=15,10%,H88&lt;=20,15%,H88&gt;20,20%)</f>
        <v>0.1</v>
      </c>
      <c r="L88" s="6">
        <f t="shared" si="3"/>
        <v>782.1</v>
      </c>
      <c r="M88" s="6" cm="1">
        <f t="array" ref="M88">L88*_xlfn.IFS(L88&lt;=5000,0.02,L88&lt;=15000,0.04,L88&gt;15000,0.06)</f>
        <v>15.642000000000001</v>
      </c>
      <c r="N88" s="6">
        <f t="shared" si="4"/>
        <v>364.1</v>
      </c>
      <c r="O88" s="8">
        <f t="shared" si="5"/>
        <v>0.46554149085794655</v>
      </c>
    </row>
    <row r="89" spans="1:15" x14ac:dyDescent="0.45">
      <c r="A89" t="s">
        <v>171</v>
      </c>
      <c r="B89" s="4">
        <v>45631</v>
      </c>
      <c r="C89" t="s">
        <v>17</v>
      </c>
      <c r="D89" t="s">
        <v>28</v>
      </c>
      <c r="E89" t="s">
        <v>48</v>
      </c>
      <c r="F89" t="str">
        <f>_xlfn.XLOOKUP(C89,Salespeople!$A$2:$A$11,Salespeople!$C$2:$C$11)</f>
        <v>EMEA</v>
      </c>
      <c r="G89" t="str">
        <f>_xlfn.XLOOKUP(C89,Salespeople!$A$2:$A$11,Salespeople!$D$2:$D$11)</f>
        <v>Portugal</v>
      </c>
      <c r="H89" s="3">
        <v>17</v>
      </c>
      <c r="I89" s="5">
        <f>_xlfn.XLOOKUP($D89,Products!$A$2:$A$16,Products!$D$2:$D$16)</f>
        <v>95</v>
      </c>
      <c r="J89" s="5">
        <f>_xlfn.XLOOKUP(Sales!$D89,Products!$A$2:$A$16,Products!$E$2:$E$16)</f>
        <v>44</v>
      </c>
      <c r="K89" s="8" cm="1">
        <f t="array" ref="K89">_xlfn.IFS(H89&lt;=5,0%,H89&lt;=10,5%,H89&lt;=15,10%,H89&lt;=20,15%,H89&gt;20,20%)</f>
        <v>0.15</v>
      </c>
      <c r="L89" s="6">
        <f t="shared" si="3"/>
        <v>1372.75</v>
      </c>
      <c r="M89" s="6" cm="1">
        <f t="array" ref="M89">L89*_xlfn.IFS(L89&lt;=5000,0.02,L89&lt;=15000,0.04,L89&gt;15000,0.06)</f>
        <v>27.455000000000002</v>
      </c>
      <c r="N89" s="6">
        <f t="shared" si="4"/>
        <v>624.75</v>
      </c>
      <c r="O89" s="8">
        <f t="shared" si="5"/>
        <v>0.45510835913312692</v>
      </c>
    </row>
    <row r="90" spans="1:15" x14ac:dyDescent="0.45">
      <c r="A90" t="s">
        <v>172</v>
      </c>
      <c r="B90" s="4">
        <v>45633</v>
      </c>
      <c r="C90" t="s">
        <v>33</v>
      </c>
      <c r="D90" t="s">
        <v>56</v>
      </c>
      <c r="E90" t="s">
        <v>48</v>
      </c>
      <c r="F90" t="str">
        <f>_xlfn.XLOOKUP(C90,Salespeople!$A$2:$A$11,Salespeople!$C$2:$C$11)</f>
        <v>EMEA</v>
      </c>
      <c r="G90" t="str">
        <f>_xlfn.XLOOKUP(C90,Salespeople!$A$2:$A$11,Salespeople!$D$2:$D$11)</f>
        <v>Kenya</v>
      </c>
      <c r="H90" s="3">
        <v>23</v>
      </c>
      <c r="I90" s="5">
        <f>_xlfn.XLOOKUP($D90,Products!$A$2:$A$16,Products!$D$2:$D$16)</f>
        <v>520</v>
      </c>
      <c r="J90" s="5">
        <f>_xlfn.XLOOKUP(Sales!$D90,Products!$A$2:$A$16,Products!$E$2:$E$16)</f>
        <v>360</v>
      </c>
      <c r="K90" s="8" cm="1">
        <f t="array" ref="K90">_xlfn.IFS(H90&lt;=5,0%,H90&lt;=10,5%,H90&lt;=15,10%,H90&lt;=20,15%,H90&gt;20,20%)</f>
        <v>0.2</v>
      </c>
      <c r="L90" s="6">
        <f t="shared" si="3"/>
        <v>9568</v>
      </c>
      <c r="M90" s="6" cm="1">
        <f t="array" ref="M90">L90*_xlfn.IFS(L90&lt;=5000,0.02,L90&lt;=15000,0.04,L90&gt;15000,0.06)</f>
        <v>382.72</v>
      </c>
      <c r="N90" s="6">
        <f t="shared" si="4"/>
        <v>1288</v>
      </c>
      <c r="O90" s="8">
        <f t="shared" si="5"/>
        <v>0.13461538461538461</v>
      </c>
    </row>
    <row r="91" spans="1:15" x14ac:dyDescent="0.45">
      <c r="A91" t="s">
        <v>173</v>
      </c>
      <c r="B91" s="4">
        <v>45575</v>
      </c>
      <c r="C91" t="s">
        <v>26</v>
      </c>
      <c r="D91" t="s">
        <v>88</v>
      </c>
      <c r="E91" t="s">
        <v>48</v>
      </c>
      <c r="F91" t="str">
        <f>_xlfn.XLOOKUP(C91,Salespeople!$A$2:$A$11,Salespeople!$C$2:$C$11)</f>
        <v>APAC</v>
      </c>
      <c r="G91" t="str">
        <f>_xlfn.XLOOKUP(C91,Salespeople!$A$2:$A$11,Salespeople!$D$2:$D$11)</f>
        <v>Singapore</v>
      </c>
      <c r="H91" s="3">
        <v>22</v>
      </c>
      <c r="I91" s="5">
        <f>_xlfn.XLOOKUP($D91,Products!$A$2:$A$16,Products!$D$2:$D$16)</f>
        <v>35</v>
      </c>
      <c r="J91" s="5">
        <f>_xlfn.XLOOKUP(Sales!$D91,Products!$A$2:$A$16,Products!$E$2:$E$16)</f>
        <v>14</v>
      </c>
      <c r="K91" s="8" cm="1">
        <f t="array" ref="K91">_xlfn.IFS(H91&lt;=5,0%,H91&lt;=10,5%,H91&lt;=15,10%,H91&lt;=20,15%,H91&gt;20,20%)</f>
        <v>0.2</v>
      </c>
      <c r="L91" s="6">
        <f t="shared" si="3"/>
        <v>616</v>
      </c>
      <c r="M91" s="6" cm="1">
        <f t="array" ref="M91">L91*_xlfn.IFS(L91&lt;=5000,0.02,L91&lt;=15000,0.04,L91&gt;15000,0.06)</f>
        <v>12.32</v>
      </c>
      <c r="N91" s="6">
        <f t="shared" si="4"/>
        <v>308</v>
      </c>
      <c r="O91" s="8">
        <f t="shared" si="5"/>
        <v>0.5</v>
      </c>
    </row>
    <row r="92" spans="1:15" x14ac:dyDescent="0.45">
      <c r="A92" t="s">
        <v>174</v>
      </c>
      <c r="B92" s="4">
        <v>45638</v>
      </c>
      <c r="C92" t="s">
        <v>26</v>
      </c>
      <c r="D92" t="s">
        <v>40</v>
      </c>
      <c r="E92" t="s">
        <v>14</v>
      </c>
      <c r="F92" t="str">
        <f>_xlfn.XLOOKUP(C92,Salespeople!$A$2:$A$11,Salespeople!$C$2:$C$11)</f>
        <v>APAC</v>
      </c>
      <c r="G92" t="str">
        <f>_xlfn.XLOOKUP(C92,Salespeople!$A$2:$A$11,Salespeople!$D$2:$D$11)</f>
        <v>Singapore</v>
      </c>
      <c r="H92" s="3">
        <v>10</v>
      </c>
      <c r="I92" s="5">
        <f>_xlfn.XLOOKUP($D92,Products!$A$2:$A$16,Products!$D$2:$D$16)</f>
        <v>1050</v>
      </c>
      <c r="J92" s="5">
        <f>_xlfn.XLOOKUP(Sales!$D92,Products!$A$2:$A$16,Products!$E$2:$E$16)</f>
        <v>760</v>
      </c>
      <c r="K92" s="8" cm="1">
        <f t="array" ref="K92">_xlfn.IFS(H92&lt;=5,0%,H92&lt;=10,5%,H92&lt;=15,10%,H92&lt;=20,15%,H92&gt;20,20%)</f>
        <v>0.05</v>
      </c>
      <c r="L92" s="6">
        <f t="shared" si="3"/>
        <v>9975</v>
      </c>
      <c r="M92" s="6" cm="1">
        <f t="array" ref="M92">L92*_xlfn.IFS(L92&lt;=5000,0.02,L92&lt;=15000,0.04,L92&gt;15000,0.06)</f>
        <v>399</v>
      </c>
      <c r="N92" s="6">
        <f t="shared" si="4"/>
        <v>2375</v>
      </c>
      <c r="O92" s="8">
        <f t="shared" si="5"/>
        <v>0.23809523809523808</v>
      </c>
    </row>
    <row r="93" spans="1:15" x14ac:dyDescent="0.45">
      <c r="A93" t="s">
        <v>175</v>
      </c>
      <c r="B93" s="4">
        <v>45572</v>
      </c>
      <c r="C93" t="s">
        <v>131</v>
      </c>
      <c r="D93" t="s">
        <v>79</v>
      </c>
      <c r="E93" t="s">
        <v>48</v>
      </c>
      <c r="F93" t="str">
        <f>_xlfn.XLOOKUP(C93,Salespeople!$A$2:$A$11,Salespeople!$C$2:$C$11)</f>
        <v>EMEA</v>
      </c>
      <c r="G93" t="str">
        <f>_xlfn.XLOOKUP(C93,Salespeople!$A$2:$A$11,Salespeople!$D$2:$D$11)</f>
        <v>United Kingdom</v>
      </c>
      <c r="H93" s="3">
        <v>7</v>
      </c>
      <c r="I93" s="5">
        <f>_xlfn.XLOOKUP($D93,Products!$A$2:$A$16,Products!$D$2:$D$16)</f>
        <v>240</v>
      </c>
      <c r="J93" s="5">
        <f>_xlfn.XLOOKUP(Sales!$D93,Products!$A$2:$A$16,Products!$E$2:$E$16)</f>
        <v>150</v>
      </c>
      <c r="K93" s="8" cm="1">
        <f t="array" ref="K93">_xlfn.IFS(H93&lt;=5,0%,H93&lt;=10,5%,H93&lt;=15,10%,H93&lt;=20,15%,H93&gt;20,20%)</f>
        <v>0.05</v>
      </c>
      <c r="L93" s="6">
        <f t="shared" si="3"/>
        <v>1596</v>
      </c>
      <c r="M93" s="6" cm="1">
        <f t="array" ref="M93">L93*_xlfn.IFS(L93&lt;=5000,0.02,L93&lt;=15000,0.04,L93&gt;15000,0.06)</f>
        <v>31.92</v>
      </c>
      <c r="N93" s="6">
        <f t="shared" si="4"/>
        <v>546</v>
      </c>
      <c r="O93" s="8">
        <f t="shared" si="5"/>
        <v>0.34210526315789475</v>
      </c>
    </row>
    <row r="94" spans="1:15" x14ac:dyDescent="0.45">
      <c r="A94" t="s">
        <v>176</v>
      </c>
      <c r="B94" s="4">
        <v>45588</v>
      </c>
      <c r="C94" t="s">
        <v>139</v>
      </c>
      <c r="D94" t="s">
        <v>74</v>
      </c>
      <c r="E94" t="s">
        <v>48</v>
      </c>
      <c r="F94" t="str">
        <f>_xlfn.XLOOKUP(C94,Salespeople!$A$2:$A$11,Salespeople!$C$2:$C$11)</f>
        <v>Americas</v>
      </c>
      <c r="G94" t="str">
        <f>_xlfn.XLOOKUP(C94,Salespeople!$A$2:$A$11,Salespeople!$D$2:$D$11)</f>
        <v>Canada</v>
      </c>
      <c r="H94" s="3">
        <v>15</v>
      </c>
      <c r="I94" s="5">
        <f>_xlfn.XLOOKUP($D94,Products!$A$2:$A$16,Products!$D$2:$D$16)</f>
        <v>210</v>
      </c>
      <c r="J94" s="5">
        <f>_xlfn.XLOOKUP(Sales!$D94,Products!$A$2:$A$16,Products!$E$2:$E$16)</f>
        <v>120</v>
      </c>
      <c r="K94" s="8" cm="1">
        <f t="array" ref="K94">_xlfn.IFS(H94&lt;=5,0%,H94&lt;=10,5%,H94&lt;=15,10%,H94&lt;=20,15%,H94&gt;20,20%)</f>
        <v>0.1</v>
      </c>
      <c r="L94" s="6">
        <f t="shared" si="3"/>
        <v>2835</v>
      </c>
      <c r="M94" s="6" cm="1">
        <f t="array" ref="M94">L94*_xlfn.IFS(L94&lt;=5000,0.02,L94&lt;=15000,0.04,L94&gt;15000,0.06)</f>
        <v>56.7</v>
      </c>
      <c r="N94" s="6">
        <f t="shared" si="4"/>
        <v>1035</v>
      </c>
      <c r="O94" s="8">
        <f t="shared" si="5"/>
        <v>0.36507936507936506</v>
      </c>
    </row>
    <row r="95" spans="1:15" x14ac:dyDescent="0.45">
      <c r="A95" t="s">
        <v>177</v>
      </c>
      <c r="B95" s="4">
        <v>45518</v>
      </c>
      <c r="C95" t="s">
        <v>51</v>
      </c>
      <c r="D95" t="s">
        <v>62</v>
      </c>
      <c r="E95" t="s">
        <v>48</v>
      </c>
      <c r="F95" t="str">
        <f>_xlfn.XLOOKUP(C95,Salespeople!$A$2:$A$11,Salespeople!$C$2:$C$11)</f>
        <v>Americas</v>
      </c>
      <c r="G95" t="str">
        <f>_xlfn.XLOOKUP(C95,Salespeople!$A$2:$A$11,Salespeople!$D$2:$D$11)</f>
        <v>Mexico</v>
      </c>
      <c r="H95" s="3">
        <v>24</v>
      </c>
      <c r="I95" s="5">
        <f>_xlfn.XLOOKUP($D95,Products!$A$2:$A$16,Products!$D$2:$D$16)</f>
        <v>1750</v>
      </c>
      <c r="J95" s="5">
        <f>_xlfn.XLOOKUP(Sales!$D95,Products!$A$2:$A$16,Products!$E$2:$E$16)</f>
        <v>1300</v>
      </c>
      <c r="K95" s="8" cm="1">
        <f t="array" ref="K95">_xlfn.IFS(H95&lt;=5,0%,H95&lt;=10,5%,H95&lt;=15,10%,H95&lt;=20,15%,H95&gt;20,20%)</f>
        <v>0.2</v>
      </c>
      <c r="L95" s="6">
        <f t="shared" si="3"/>
        <v>33600</v>
      </c>
      <c r="M95" s="6" cm="1">
        <f t="array" ref="M95">L95*_xlfn.IFS(L95&lt;=5000,0.02,L95&lt;=15000,0.04,L95&gt;15000,0.06)</f>
        <v>2016</v>
      </c>
      <c r="N95" s="6">
        <f t="shared" si="4"/>
        <v>2400</v>
      </c>
      <c r="O95" s="8">
        <f t="shared" si="5"/>
        <v>7.1428571428571425E-2</v>
      </c>
    </row>
    <row r="96" spans="1:15" x14ac:dyDescent="0.45">
      <c r="A96" t="s">
        <v>178</v>
      </c>
      <c r="B96" s="4">
        <v>45629</v>
      </c>
      <c r="C96" t="s">
        <v>17</v>
      </c>
      <c r="D96" t="s">
        <v>79</v>
      </c>
      <c r="E96" t="s">
        <v>14</v>
      </c>
      <c r="F96" t="str">
        <f>_xlfn.XLOOKUP(C96,Salespeople!$A$2:$A$11,Salespeople!$C$2:$C$11)</f>
        <v>EMEA</v>
      </c>
      <c r="G96" t="str">
        <f>_xlfn.XLOOKUP(C96,Salespeople!$A$2:$A$11,Salespeople!$D$2:$D$11)</f>
        <v>Portugal</v>
      </c>
      <c r="H96" s="3">
        <v>22</v>
      </c>
      <c r="I96" s="5">
        <f>_xlfn.XLOOKUP($D96,Products!$A$2:$A$16,Products!$D$2:$D$16)</f>
        <v>240</v>
      </c>
      <c r="J96" s="5">
        <f>_xlfn.XLOOKUP(Sales!$D96,Products!$A$2:$A$16,Products!$E$2:$E$16)</f>
        <v>150</v>
      </c>
      <c r="K96" s="8" cm="1">
        <f t="array" ref="K96">_xlfn.IFS(H96&lt;=5,0%,H96&lt;=10,5%,H96&lt;=15,10%,H96&lt;=20,15%,H96&gt;20,20%)</f>
        <v>0.2</v>
      </c>
      <c r="L96" s="6">
        <f t="shared" si="3"/>
        <v>4224</v>
      </c>
      <c r="M96" s="6" cm="1">
        <f t="array" ref="M96">L96*_xlfn.IFS(L96&lt;=5000,0.02,L96&lt;=15000,0.04,L96&gt;15000,0.06)</f>
        <v>84.48</v>
      </c>
      <c r="N96" s="6">
        <f t="shared" si="4"/>
        <v>924</v>
      </c>
      <c r="O96" s="8">
        <f t="shared" si="5"/>
        <v>0.21875</v>
      </c>
    </row>
    <row r="97" spans="1:15" x14ac:dyDescent="0.45">
      <c r="A97" t="s">
        <v>179</v>
      </c>
      <c r="B97" s="4">
        <v>45339</v>
      </c>
      <c r="C97" t="s">
        <v>51</v>
      </c>
      <c r="D97" t="s">
        <v>74</v>
      </c>
      <c r="E97" t="s">
        <v>48</v>
      </c>
      <c r="F97" t="str">
        <f>_xlfn.XLOOKUP(C97,Salespeople!$A$2:$A$11,Salespeople!$C$2:$C$11)</f>
        <v>Americas</v>
      </c>
      <c r="G97" t="str">
        <f>_xlfn.XLOOKUP(C97,Salespeople!$A$2:$A$11,Salespeople!$D$2:$D$11)</f>
        <v>Mexico</v>
      </c>
      <c r="H97" s="3">
        <v>8</v>
      </c>
      <c r="I97" s="5">
        <f>_xlfn.XLOOKUP($D97,Products!$A$2:$A$16,Products!$D$2:$D$16)</f>
        <v>210</v>
      </c>
      <c r="J97" s="5">
        <f>_xlfn.XLOOKUP(Sales!$D97,Products!$A$2:$A$16,Products!$E$2:$E$16)</f>
        <v>120</v>
      </c>
      <c r="K97" s="8" cm="1">
        <f t="array" ref="K97">_xlfn.IFS(H97&lt;=5,0%,H97&lt;=10,5%,H97&lt;=15,10%,H97&lt;=20,15%,H97&gt;20,20%)</f>
        <v>0.05</v>
      </c>
      <c r="L97" s="6">
        <f t="shared" si="3"/>
        <v>1596</v>
      </c>
      <c r="M97" s="6" cm="1">
        <f t="array" ref="M97">L97*_xlfn.IFS(L97&lt;=5000,0.02,L97&lt;=15000,0.04,L97&gt;15000,0.06)</f>
        <v>31.92</v>
      </c>
      <c r="N97" s="6">
        <f t="shared" si="4"/>
        <v>636</v>
      </c>
      <c r="O97" s="8">
        <f t="shared" si="5"/>
        <v>0.39849624060150374</v>
      </c>
    </row>
    <row r="98" spans="1:15" x14ac:dyDescent="0.45">
      <c r="A98" t="s">
        <v>180</v>
      </c>
      <c r="B98" s="4">
        <v>45367</v>
      </c>
      <c r="C98" t="s">
        <v>131</v>
      </c>
      <c r="D98" t="s">
        <v>19</v>
      </c>
      <c r="E98" t="s">
        <v>23</v>
      </c>
      <c r="F98" t="str">
        <f>_xlfn.XLOOKUP(C98,Salespeople!$A$2:$A$11,Salespeople!$C$2:$C$11)</f>
        <v>EMEA</v>
      </c>
      <c r="G98" t="str">
        <f>_xlfn.XLOOKUP(C98,Salespeople!$A$2:$A$11,Salespeople!$D$2:$D$11)</f>
        <v>United Kingdom</v>
      </c>
      <c r="H98" s="3">
        <v>16</v>
      </c>
      <c r="I98" s="5">
        <f>_xlfn.XLOOKUP($D98,Products!$A$2:$A$16,Products!$D$2:$D$16)</f>
        <v>25</v>
      </c>
      <c r="J98" s="5">
        <f>_xlfn.XLOOKUP(Sales!$D98,Products!$A$2:$A$16,Products!$E$2:$E$16)</f>
        <v>11</v>
      </c>
      <c r="K98" s="8" cm="1">
        <f t="array" ref="K98">_xlfn.IFS(H98&lt;=5,0%,H98&lt;=10,5%,H98&lt;=15,10%,H98&lt;=20,15%,H98&gt;20,20%)</f>
        <v>0.15</v>
      </c>
      <c r="L98" s="6">
        <f t="shared" si="3"/>
        <v>340</v>
      </c>
      <c r="M98" s="6" cm="1">
        <f t="array" ref="M98">L98*_xlfn.IFS(L98&lt;=5000,0.02,L98&lt;=15000,0.04,L98&gt;15000,0.06)</f>
        <v>6.8</v>
      </c>
      <c r="N98" s="6">
        <f t="shared" si="4"/>
        <v>164</v>
      </c>
      <c r="O98" s="8">
        <f t="shared" si="5"/>
        <v>0.4823529411764706</v>
      </c>
    </row>
    <row r="99" spans="1:15" x14ac:dyDescent="0.45">
      <c r="A99" t="s">
        <v>181</v>
      </c>
      <c r="B99" s="4">
        <v>45525</v>
      </c>
      <c r="C99" t="s">
        <v>33</v>
      </c>
      <c r="D99" t="s">
        <v>91</v>
      </c>
      <c r="E99" t="s">
        <v>14</v>
      </c>
      <c r="F99" t="str">
        <f>_xlfn.XLOOKUP(C99,Salespeople!$A$2:$A$11,Salespeople!$C$2:$C$11)</f>
        <v>EMEA</v>
      </c>
      <c r="G99" t="str">
        <f>_xlfn.XLOOKUP(C99,Salespeople!$A$2:$A$11,Salespeople!$D$2:$D$11)</f>
        <v>Kenya</v>
      </c>
      <c r="H99" s="3">
        <v>19</v>
      </c>
      <c r="I99" s="5">
        <f>_xlfn.XLOOKUP($D99,Products!$A$2:$A$16,Products!$D$2:$D$16)</f>
        <v>160</v>
      </c>
      <c r="J99" s="5">
        <f>_xlfn.XLOOKUP(Sales!$D99,Products!$A$2:$A$16,Products!$E$2:$E$16)</f>
        <v>88</v>
      </c>
      <c r="K99" s="8" cm="1">
        <f t="array" ref="K99">_xlfn.IFS(H99&lt;=5,0%,H99&lt;=10,5%,H99&lt;=15,10%,H99&lt;=20,15%,H99&gt;20,20%)</f>
        <v>0.15</v>
      </c>
      <c r="L99" s="6">
        <f t="shared" si="3"/>
        <v>2584</v>
      </c>
      <c r="M99" s="6" cm="1">
        <f t="array" ref="M99">L99*_xlfn.IFS(L99&lt;=5000,0.02,L99&lt;=15000,0.04,L99&gt;15000,0.06)</f>
        <v>51.68</v>
      </c>
      <c r="N99" s="6">
        <f t="shared" si="4"/>
        <v>912</v>
      </c>
      <c r="O99" s="8">
        <f t="shared" si="5"/>
        <v>0.35294117647058826</v>
      </c>
    </row>
    <row r="100" spans="1:15" x14ac:dyDescent="0.45">
      <c r="A100" t="s">
        <v>182</v>
      </c>
      <c r="B100" s="4">
        <v>45648</v>
      </c>
      <c r="C100" t="s">
        <v>33</v>
      </c>
      <c r="D100" t="s">
        <v>103</v>
      </c>
      <c r="E100" t="s">
        <v>48</v>
      </c>
      <c r="F100" t="str">
        <f>_xlfn.XLOOKUP(C100,Salespeople!$A$2:$A$11,Salespeople!$C$2:$C$11)</f>
        <v>EMEA</v>
      </c>
      <c r="G100" t="str">
        <f>_xlfn.XLOOKUP(C100,Salespeople!$A$2:$A$11,Salespeople!$D$2:$D$11)</f>
        <v>Kenya</v>
      </c>
      <c r="H100" s="3">
        <v>8</v>
      </c>
      <c r="I100" s="5">
        <f>_xlfn.XLOOKUP($D100,Products!$A$2:$A$16,Products!$D$2:$D$16)</f>
        <v>1150</v>
      </c>
      <c r="J100" s="5">
        <f>_xlfn.XLOOKUP(Sales!$D100,Products!$A$2:$A$16,Products!$E$2:$E$16)</f>
        <v>820</v>
      </c>
      <c r="K100" s="8" cm="1">
        <f t="array" ref="K100">_xlfn.IFS(H100&lt;=5,0%,H100&lt;=10,5%,H100&lt;=15,10%,H100&lt;=20,15%,H100&gt;20,20%)</f>
        <v>0.05</v>
      </c>
      <c r="L100" s="6">
        <f t="shared" si="3"/>
        <v>8740</v>
      </c>
      <c r="M100" s="6" cm="1">
        <f t="array" ref="M100">L100*_xlfn.IFS(L100&lt;=5000,0.02,L100&lt;=15000,0.04,L100&gt;15000,0.06)</f>
        <v>349.6</v>
      </c>
      <c r="N100" s="6">
        <f t="shared" si="4"/>
        <v>2180</v>
      </c>
      <c r="O100" s="8">
        <f t="shared" si="5"/>
        <v>0.2494279176201373</v>
      </c>
    </row>
    <row r="101" spans="1:15" x14ac:dyDescent="0.45">
      <c r="A101" t="s">
        <v>183</v>
      </c>
      <c r="B101" s="4">
        <v>45627</v>
      </c>
      <c r="C101" t="s">
        <v>131</v>
      </c>
      <c r="D101" t="s">
        <v>91</v>
      </c>
      <c r="E101" t="s">
        <v>23</v>
      </c>
      <c r="F101" t="str">
        <f>_xlfn.XLOOKUP(C101,Salespeople!$A$2:$A$11,Salespeople!$C$2:$C$11)</f>
        <v>EMEA</v>
      </c>
      <c r="G101" t="str">
        <f>_xlfn.XLOOKUP(C101,Salespeople!$A$2:$A$11,Salespeople!$D$2:$D$11)</f>
        <v>United Kingdom</v>
      </c>
      <c r="H101" s="3">
        <v>25</v>
      </c>
      <c r="I101" s="5">
        <f>_xlfn.XLOOKUP($D101,Products!$A$2:$A$16,Products!$D$2:$D$16)</f>
        <v>160</v>
      </c>
      <c r="J101" s="5">
        <f>_xlfn.XLOOKUP(Sales!$D101,Products!$A$2:$A$16,Products!$E$2:$E$16)</f>
        <v>88</v>
      </c>
      <c r="K101" s="8" cm="1">
        <f t="array" ref="K101">_xlfn.IFS(H101&lt;=5,0%,H101&lt;=10,5%,H101&lt;=15,10%,H101&lt;=20,15%,H101&gt;20,20%)</f>
        <v>0.2</v>
      </c>
      <c r="L101" s="6">
        <f t="shared" si="3"/>
        <v>3200</v>
      </c>
      <c r="M101" s="6" cm="1">
        <f t="array" ref="M101">L101*_xlfn.IFS(L101&lt;=5000,0.02,L101&lt;=15000,0.04,L101&gt;15000,0.06)</f>
        <v>64</v>
      </c>
      <c r="N101" s="6">
        <f t="shared" si="4"/>
        <v>1000</v>
      </c>
      <c r="O101" s="8">
        <f t="shared" si="5"/>
        <v>0.3125</v>
      </c>
    </row>
    <row r="102" spans="1:15" x14ac:dyDescent="0.45">
      <c r="A102" t="s">
        <v>184</v>
      </c>
      <c r="B102" s="4">
        <v>45404</v>
      </c>
      <c r="C102" t="s">
        <v>26</v>
      </c>
      <c r="D102" t="s">
        <v>53</v>
      </c>
      <c r="E102" t="s">
        <v>14</v>
      </c>
      <c r="F102" t="str">
        <f>_xlfn.XLOOKUP(C102,Salespeople!$A$2:$A$11,Salespeople!$C$2:$C$11)</f>
        <v>APAC</v>
      </c>
      <c r="G102" t="str">
        <f>_xlfn.XLOOKUP(C102,Salespeople!$A$2:$A$11,Salespeople!$D$2:$D$11)</f>
        <v>Singapore</v>
      </c>
      <c r="H102" s="3">
        <v>17</v>
      </c>
      <c r="I102" s="5">
        <f>_xlfn.XLOOKUP($D102,Products!$A$2:$A$16,Products!$D$2:$D$16)</f>
        <v>130</v>
      </c>
      <c r="J102" s="5">
        <f>_xlfn.XLOOKUP(Sales!$D102,Products!$A$2:$A$16,Products!$E$2:$E$16)</f>
        <v>62</v>
      </c>
      <c r="K102" s="8" cm="1">
        <f t="array" ref="K102">_xlfn.IFS(H102&lt;=5,0%,H102&lt;=10,5%,H102&lt;=15,10%,H102&lt;=20,15%,H102&gt;20,20%)</f>
        <v>0.15</v>
      </c>
      <c r="L102" s="6">
        <f t="shared" si="3"/>
        <v>1878.5</v>
      </c>
      <c r="M102" s="6" cm="1">
        <f t="array" ref="M102">L102*_xlfn.IFS(L102&lt;=5000,0.02,L102&lt;=15000,0.04,L102&gt;15000,0.06)</f>
        <v>37.57</v>
      </c>
      <c r="N102" s="6">
        <f t="shared" si="4"/>
        <v>824.5</v>
      </c>
      <c r="O102" s="8">
        <f t="shared" si="5"/>
        <v>0.43891402714932126</v>
      </c>
    </row>
    <row r="103" spans="1:15" x14ac:dyDescent="0.45">
      <c r="A103" t="s">
        <v>185</v>
      </c>
      <c r="B103" s="4">
        <v>45317</v>
      </c>
      <c r="C103" t="s">
        <v>38</v>
      </c>
      <c r="D103" t="s">
        <v>88</v>
      </c>
      <c r="E103" t="s">
        <v>23</v>
      </c>
      <c r="F103" t="str">
        <f>_xlfn.XLOOKUP(C103,Salespeople!$A$2:$A$11,Salespeople!$C$2:$C$11)</f>
        <v>Americas</v>
      </c>
      <c r="G103" t="str">
        <f>_xlfn.XLOOKUP(C103,Salespeople!$A$2:$A$11,Salespeople!$D$2:$D$11)</f>
        <v>Brazil</v>
      </c>
      <c r="H103" s="3">
        <v>15</v>
      </c>
      <c r="I103" s="5">
        <f>_xlfn.XLOOKUP($D103,Products!$A$2:$A$16,Products!$D$2:$D$16)</f>
        <v>35</v>
      </c>
      <c r="J103" s="5">
        <f>_xlfn.XLOOKUP(Sales!$D103,Products!$A$2:$A$16,Products!$E$2:$E$16)</f>
        <v>14</v>
      </c>
      <c r="K103" s="8" cm="1">
        <f t="array" ref="K103">_xlfn.IFS(H103&lt;=5,0%,H103&lt;=10,5%,H103&lt;=15,10%,H103&lt;=20,15%,H103&gt;20,20%)</f>
        <v>0.1</v>
      </c>
      <c r="L103" s="6">
        <f t="shared" si="3"/>
        <v>472.5</v>
      </c>
      <c r="M103" s="6" cm="1">
        <f t="array" ref="M103">L103*_xlfn.IFS(L103&lt;=5000,0.02,L103&lt;=15000,0.04,L103&gt;15000,0.06)</f>
        <v>9.4500000000000011</v>
      </c>
      <c r="N103" s="6">
        <f t="shared" si="4"/>
        <v>262.5</v>
      </c>
      <c r="O103" s="8">
        <f t="shared" si="5"/>
        <v>0.55555555555555558</v>
      </c>
    </row>
    <row r="104" spans="1:15" x14ac:dyDescent="0.45">
      <c r="A104" t="s">
        <v>186</v>
      </c>
      <c r="B104" s="4">
        <v>45529</v>
      </c>
      <c r="C104" t="s">
        <v>38</v>
      </c>
      <c r="D104" t="s">
        <v>62</v>
      </c>
      <c r="E104" t="s">
        <v>14</v>
      </c>
      <c r="F104" t="str">
        <f>_xlfn.XLOOKUP(C104,Salespeople!$A$2:$A$11,Salespeople!$C$2:$C$11)</f>
        <v>Americas</v>
      </c>
      <c r="G104" t="str">
        <f>_xlfn.XLOOKUP(C104,Salespeople!$A$2:$A$11,Salespeople!$D$2:$D$11)</f>
        <v>Brazil</v>
      </c>
      <c r="H104" s="3">
        <v>11</v>
      </c>
      <c r="I104" s="5">
        <f>_xlfn.XLOOKUP($D104,Products!$A$2:$A$16,Products!$D$2:$D$16)</f>
        <v>1750</v>
      </c>
      <c r="J104" s="5">
        <f>_xlfn.XLOOKUP(Sales!$D104,Products!$A$2:$A$16,Products!$E$2:$E$16)</f>
        <v>1300</v>
      </c>
      <c r="K104" s="8" cm="1">
        <f t="array" ref="K104">_xlfn.IFS(H104&lt;=5,0%,H104&lt;=10,5%,H104&lt;=15,10%,H104&lt;=20,15%,H104&gt;20,20%)</f>
        <v>0.1</v>
      </c>
      <c r="L104" s="6">
        <f t="shared" si="3"/>
        <v>17325</v>
      </c>
      <c r="M104" s="6" cm="1">
        <f t="array" ref="M104">L104*_xlfn.IFS(L104&lt;=5000,0.02,L104&lt;=15000,0.04,L104&gt;15000,0.06)</f>
        <v>1039.5</v>
      </c>
      <c r="N104" s="6">
        <f t="shared" si="4"/>
        <v>3025</v>
      </c>
      <c r="O104" s="8">
        <f t="shared" si="5"/>
        <v>0.17460317460317459</v>
      </c>
    </row>
    <row r="105" spans="1:15" x14ac:dyDescent="0.45">
      <c r="A105" t="s">
        <v>187</v>
      </c>
      <c r="B105" s="4">
        <v>45605</v>
      </c>
      <c r="C105" t="s">
        <v>38</v>
      </c>
      <c r="D105" t="s">
        <v>44</v>
      </c>
      <c r="E105" t="s">
        <v>14</v>
      </c>
      <c r="F105" t="str">
        <f>_xlfn.XLOOKUP(C105,Salespeople!$A$2:$A$11,Salespeople!$C$2:$C$11)</f>
        <v>Americas</v>
      </c>
      <c r="G105" t="str">
        <f>_xlfn.XLOOKUP(C105,Salespeople!$A$2:$A$11,Salespeople!$D$2:$D$11)</f>
        <v>Brazil</v>
      </c>
      <c r="H105" s="3">
        <v>15</v>
      </c>
      <c r="I105" s="5">
        <f>_xlfn.XLOOKUP($D105,Products!$A$2:$A$16,Products!$D$2:$D$16)</f>
        <v>180</v>
      </c>
      <c r="J105" s="5">
        <f>_xlfn.XLOOKUP(Sales!$D105,Products!$A$2:$A$16,Products!$E$2:$E$16)</f>
        <v>105</v>
      </c>
      <c r="K105" s="8" cm="1">
        <f t="array" ref="K105">_xlfn.IFS(H105&lt;=5,0%,H105&lt;=10,5%,H105&lt;=15,10%,H105&lt;=20,15%,H105&gt;20,20%)</f>
        <v>0.1</v>
      </c>
      <c r="L105" s="6">
        <f t="shared" si="3"/>
        <v>2430</v>
      </c>
      <c r="M105" s="6" cm="1">
        <f t="array" ref="M105">L105*_xlfn.IFS(L105&lt;=5000,0.02,L105&lt;=15000,0.04,L105&gt;15000,0.06)</f>
        <v>48.6</v>
      </c>
      <c r="N105" s="6">
        <f t="shared" si="4"/>
        <v>855</v>
      </c>
      <c r="O105" s="8">
        <f t="shared" si="5"/>
        <v>0.35185185185185186</v>
      </c>
    </row>
    <row r="106" spans="1:15" x14ac:dyDescent="0.45">
      <c r="A106" t="s">
        <v>188</v>
      </c>
      <c r="B106" s="4">
        <v>45535</v>
      </c>
      <c r="C106" t="s">
        <v>60</v>
      </c>
      <c r="D106" t="s">
        <v>79</v>
      </c>
      <c r="E106" t="s">
        <v>23</v>
      </c>
      <c r="F106" t="str">
        <f>_xlfn.XLOOKUP(C106,Salespeople!$A$2:$A$11,Salespeople!$C$2:$C$11)</f>
        <v>APAC</v>
      </c>
      <c r="G106" t="str">
        <f>_xlfn.XLOOKUP(C106,Salespeople!$A$2:$A$11,Salespeople!$D$2:$D$11)</f>
        <v>Japan</v>
      </c>
      <c r="H106" s="3">
        <v>21</v>
      </c>
      <c r="I106" s="5">
        <f>_xlfn.XLOOKUP($D106,Products!$A$2:$A$16,Products!$D$2:$D$16)</f>
        <v>240</v>
      </c>
      <c r="J106" s="5">
        <f>_xlfn.XLOOKUP(Sales!$D106,Products!$A$2:$A$16,Products!$E$2:$E$16)</f>
        <v>150</v>
      </c>
      <c r="K106" s="8" cm="1">
        <f t="array" ref="K106">_xlfn.IFS(H106&lt;=5,0%,H106&lt;=10,5%,H106&lt;=15,10%,H106&lt;=20,15%,H106&gt;20,20%)</f>
        <v>0.2</v>
      </c>
      <c r="L106" s="6">
        <f t="shared" si="3"/>
        <v>4032</v>
      </c>
      <c r="M106" s="6" cm="1">
        <f t="array" ref="M106">L106*_xlfn.IFS(L106&lt;=5000,0.02,L106&lt;=15000,0.04,L106&gt;15000,0.06)</f>
        <v>80.64</v>
      </c>
      <c r="N106" s="6">
        <f t="shared" si="4"/>
        <v>882</v>
      </c>
      <c r="O106" s="8">
        <f t="shared" si="5"/>
        <v>0.21875</v>
      </c>
    </row>
    <row r="107" spans="1:15" x14ac:dyDescent="0.45">
      <c r="A107" t="s">
        <v>189</v>
      </c>
      <c r="B107" s="4">
        <v>45558</v>
      </c>
      <c r="C107" t="s">
        <v>60</v>
      </c>
      <c r="D107" t="s">
        <v>74</v>
      </c>
      <c r="E107" t="s">
        <v>23</v>
      </c>
      <c r="F107" t="str">
        <f>_xlfn.XLOOKUP(C107,Salespeople!$A$2:$A$11,Salespeople!$C$2:$C$11)</f>
        <v>APAC</v>
      </c>
      <c r="G107" t="str">
        <f>_xlfn.XLOOKUP(C107,Salespeople!$A$2:$A$11,Salespeople!$D$2:$D$11)</f>
        <v>Japan</v>
      </c>
      <c r="H107" s="3">
        <v>9</v>
      </c>
      <c r="I107" s="5">
        <f>_xlfn.XLOOKUP($D107,Products!$A$2:$A$16,Products!$D$2:$D$16)</f>
        <v>210</v>
      </c>
      <c r="J107" s="5">
        <f>_xlfn.XLOOKUP(Sales!$D107,Products!$A$2:$A$16,Products!$E$2:$E$16)</f>
        <v>120</v>
      </c>
      <c r="K107" s="8" cm="1">
        <f t="array" ref="K107">_xlfn.IFS(H107&lt;=5,0%,H107&lt;=10,5%,H107&lt;=15,10%,H107&lt;=20,15%,H107&gt;20,20%)</f>
        <v>0.05</v>
      </c>
      <c r="L107" s="6">
        <f t="shared" si="3"/>
        <v>1795.5</v>
      </c>
      <c r="M107" s="6" cm="1">
        <f t="array" ref="M107">L107*_xlfn.IFS(L107&lt;=5000,0.02,L107&lt;=15000,0.04,L107&gt;15000,0.06)</f>
        <v>35.910000000000004</v>
      </c>
      <c r="N107" s="6">
        <f t="shared" si="4"/>
        <v>715.5</v>
      </c>
      <c r="O107" s="8">
        <f t="shared" si="5"/>
        <v>0.39849624060150374</v>
      </c>
    </row>
    <row r="108" spans="1:15" x14ac:dyDescent="0.45">
      <c r="A108" t="s">
        <v>190</v>
      </c>
      <c r="B108" s="4">
        <v>45331</v>
      </c>
      <c r="C108" t="s">
        <v>66</v>
      </c>
      <c r="D108" t="s">
        <v>88</v>
      </c>
      <c r="E108" t="s">
        <v>48</v>
      </c>
      <c r="F108" t="str">
        <f>_xlfn.XLOOKUP(C108,Salespeople!$A$2:$A$11,Salespeople!$C$2:$C$11)</f>
        <v>Americas</v>
      </c>
      <c r="G108" t="str">
        <f>_xlfn.XLOOKUP(C108,Salespeople!$A$2:$A$11,Salespeople!$D$2:$D$11)</f>
        <v>United States</v>
      </c>
      <c r="H108" s="3">
        <v>11</v>
      </c>
      <c r="I108" s="5">
        <f>_xlfn.XLOOKUP($D108,Products!$A$2:$A$16,Products!$D$2:$D$16)</f>
        <v>35</v>
      </c>
      <c r="J108" s="5">
        <f>_xlfn.XLOOKUP(Sales!$D108,Products!$A$2:$A$16,Products!$E$2:$E$16)</f>
        <v>14</v>
      </c>
      <c r="K108" s="8" cm="1">
        <f t="array" ref="K108">_xlfn.IFS(H108&lt;=5,0%,H108&lt;=10,5%,H108&lt;=15,10%,H108&lt;=20,15%,H108&gt;20,20%)</f>
        <v>0.1</v>
      </c>
      <c r="L108" s="6">
        <f t="shared" si="3"/>
        <v>346.5</v>
      </c>
      <c r="M108" s="6" cm="1">
        <f t="array" ref="M108">L108*_xlfn.IFS(L108&lt;=5000,0.02,L108&lt;=15000,0.04,L108&gt;15000,0.06)</f>
        <v>6.93</v>
      </c>
      <c r="N108" s="6">
        <f t="shared" si="4"/>
        <v>192.5</v>
      </c>
      <c r="O108" s="8">
        <f t="shared" si="5"/>
        <v>0.55555555555555558</v>
      </c>
    </row>
    <row r="109" spans="1:15" x14ac:dyDescent="0.45">
      <c r="A109" t="s">
        <v>191</v>
      </c>
      <c r="B109" s="4">
        <v>45568</v>
      </c>
      <c r="C109" t="s">
        <v>17</v>
      </c>
      <c r="D109" t="s">
        <v>121</v>
      </c>
      <c r="E109" t="s">
        <v>23</v>
      </c>
      <c r="F109" t="str">
        <f>_xlfn.XLOOKUP(C109,Salespeople!$A$2:$A$11,Salespeople!$C$2:$C$11)</f>
        <v>EMEA</v>
      </c>
      <c r="G109" t="str">
        <f>_xlfn.XLOOKUP(C109,Salespeople!$A$2:$A$11,Salespeople!$D$2:$D$11)</f>
        <v>Portugal</v>
      </c>
      <c r="H109" s="3">
        <v>8</v>
      </c>
      <c r="I109" s="5">
        <f>_xlfn.XLOOKUP($D109,Products!$A$2:$A$16,Products!$D$2:$D$16)</f>
        <v>45</v>
      </c>
      <c r="J109" s="5">
        <f>_xlfn.XLOOKUP(Sales!$D109,Products!$A$2:$A$16,Products!$E$2:$E$16)</f>
        <v>19</v>
      </c>
      <c r="K109" s="8" cm="1">
        <f t="array" ref="K109">_xlfn.IFS(H109&lt;=5,0%,H109&lt;=10,5%,H109&lt;=15,10%,H109&lt;=20,15%,H109&gt;20,20%)</f>
        <v>0.05</v>
      </c>
      <c r="L109" s="6">
        <f t="shared" si="3"/>
        <v>342</v>
      </c>
      <c r="M109" s="6" cm="1">
        <f t="array" ref="M109">L109*_xlfn.IFS(L109&lt;=5000,0.02,L109&lt;=15000,0.04,L109&gt;15000,0.06)</f>
        <v>6.84</v>
      </c>
      <c r="N109" s="6">
        <f t="shared" si="4"/>
        <v>190</v>
      </c>
      <c r="O109" s="8">
        <f t="shared" si="5"/>
        <v>0.55555555555555558</v>
      </c>
    </row>
    <row r="110" spans="1:15" x14ac:dyDescent="0.45">
      <c r="A110" t="s">
        <v>192</v>
      </c>
      <c r="B110" s="4">
        <v>45647</v>
      </c>
      <c r="C110" t="s">
        <v>26</v>
      </c>
      <c r="D110" t="s">
        <v>28</v>
      </c>
      <c r="E110" t="s">
        <v>23</v>
      </c>
      <c r="F110" t="str">
        <f>_xlfn.XLOOKUP(C110,Salespeople!$A$2:$A$11,Salespeople!$C$2:$C$11)</f>
        <v>APAC</v>
      </c>
      <c r="G110" t="str">
        <f>_xlfn.XLOOKUP(C110,Salespeople!$A$2:$A$11,Salespeople!$D$2:$D$11)</f>
        <v>Singapore</v>
      </c>
      <c r="H110" s="3">
        <v>3</v>
      </c>
      <c r="I110" s="5">
        <f>_xlfn.XLOOKUP($D110,Products!$A$2:$A$16,Products!$D$2:$D$16)</f>
        <v>95</v>
      </c>
      <c r="J110" s="5">
        <f>_xlfn.XLOOKUP(Sales!$D110,Products!$A$2:$A$16,Products!$E$2:$E$16)</f>
        <v>44</v>
      </c>
      <c r="K110" s="8" cm="1">
        <f t="array" ref="K110">_xlfn.IFS(H110&lt;=5,0%,H110&lt;=10,5%,H110&lt;=15,10%,H110&lt;=20,15%,H110&gt;20,20%)</f>
        <v>0</v>
      </c>
      <c r="L110" s="6">
        <f t="shared" si="3"/>
        <v>285</v>
      </c>
      <c r="M110" s="6" cm="1">
        <f t="array" ref="M110">L110*_xlfn.IFS(L110&lt;=5000,0.02,L110&lt;=15000,0.04,L110&gt;15000,0.06)</f>
        <v>5.7</v>
      </c>
      <c r="N110" s="6">
        <f t="shared" si="4"/>
        <v>153</v>
      </c>
      <c r="O110" s="8">
        <f t="shared" si="5"/>
        <v>0.5368421052631579</v>
      </c>
    </row>
    <row r="111" spans="1:15" x14ac:dyDescent="0.45">
      <c r="A111" t="s">
        <v>193</v>
      </c>
      <c r="B111" s="4">
        <v>45500</v>
      </c>
      <c r="C111" t="s">
        <v>83</v>
      </c>
      <c r="D111" t="s">
        <v>62</v>
      </c>
      <c r="E111" t="s">
        <v>48</v>
      </c>
      <c r="F111" t="str">
        <f>_xlfn.XLOOKUP(C111,Salespeople!$A$2:$A$11,Salespeople!$C$2:$C$11)</f>
        <v>EMEA</v>
      </c>
      <c r="G111" t="str">
        <f>_xlfn.XLOOKUP(C111,Salespeople!$A$2:$A$11,Salespeople!$D$2:$D$11)</f>
        <v>United Arab Emirates</v>
      </c>
      <c r="H111" s="3">
        <v>14</v>
      </c>
      <c r="I111" s="5">
        <f>_xlfn.XLOOKUP($D111,Products!$A$2:$A$16,Products!$D$2:$D$16)</f>
        <v>1750</v>
      </c>
      <c r="J111" s="5">
        <f>_xlfn.XLOOKUP(Sales!$D111,Products!$A$2:$A$16,Products!$E$2:$E$16)</f>
        <v>1300</v>
      </c>
      <c r="K111" s="8" cm="1">
        <f t="array" ref="K111">_xlfn.IFS(H111&lt;=5,0%,H111&lt;=10,5%,H111&lt;=15,10%,H111&lt;=20,15%,H111&gt;20,20%)</f>
        <v>0.1</v>
      </c>
      <c r="L111" s="6">
        <f t="shared" si="3"/>
        <v>22050</v>
      </c>
      <c r="M111" s="6" cm="1">
        <f t="array" ref="M111">L111*_xlfn.IFS(L111&lt;=5000,0.02,L111&lt;=15000,0.04,L111&gt;15000,0.06)</f>
        <v>1323</v>
      </c>
      <c r="N111" s="6">
        <f t="shared" si="4"/>
        <v>3850</v>
      </c>
      <c r="O111" s="8">
        <f t="shared" si="5"/>
        <v>0.17460317460317459</v>
      </c>
    </row>
    <row r="112" spans="1:15" x14ac:dyDescent="0.45">
      <c r="A112" t="s">
        <v>194</v>
      </c>
      <c r="B112" s="4">
        <v>45397</v>
      </c>
      <c r="C112" t="s">
        <v>33</v>
      </c>
      <c r="D112" t="s">
        <v>44</v>
      </c>
      <c r="E112" t="s">
        <v>14</v>
      </c>
      <c r="F112" t="str">
        <f>_xlfn.XLOOKUP(C112,Salespeople!$A$2:$A$11,Salespeople!$C$2:$C$11)</f>
        <v>EMEA</v>
      </c>
      <c r="G112" t="str">
        <f>_xlfn.XLOOKUP(C112,Salespeople!$A$2:$A$11,Salespeople!$D$2:$D$11)</f>
        <v>Kenya</v>
      </c>
      <c r="H112" s="3">
        <v>23</v>
      </c>
      <c r="I112" s="5">
        <f>_xlfn.XLOOKUP($D112,Products!$A$2:$A$16,Products!$D$2:$D$16)</f>
        <v>180</v>
      </c>
      <c r="J112" s="5">
        <f>_xlfn.XLOOKUP(Sales!$D112,Products!$A$2:$A$16,Products!$E$2:$E$16)</f>
        <v>105</v>
      </c>
      <c r="K112" s="8" cm="1">
        <f t="array" ref="K112">_xlfn.IFS(H112&lt;=5,0%,H112&lt;=10,5%,H112&lt;=15,10%,H112&lt;=20,15%,H112&gt;20,20%)</f>
        <v>0.2</v>
      </c>
      <c r="L112" s="6">
        <f t="shared" si="3"/>
        <v>3312</v>
      </c>
      <c r="M112" s="6" cm="1">
        <f t="array" ref="M112">L112*_xlfn.IFS(L112&lt;=5000,0.02,L112&lt;=15000,0.04,L112&gt;15000,0.06)</f>
        <v>66.239999999999995</v>
      </c>
      <c r="N112" s="6">
        <f t="shared" si="4"/>
        <v>897</v>
      </c>
      <c r="O112" s="8">
        <f t="shared" si="5"/>
        <v>0.27083333333333331</v>
      </c>
    </row>
    <row r="113" spans="1:15" x14ac:dyDescent="0.45">
      <c r="A113" t="s">
        <v>195</v>
      </c>
      <c r="B113" s="4">
        <v>45586</v>
      </c>
      <c r="C113" t="s">
        <v>33</v>
      </c>
      <c r="D113" t="s">
        <v>103</v>
      </c>
      <c r="E113" t="s">
        <v>23</v>
      </c>
      <c r="F113" t="str">
        <f>_xlfn.XLOOKUP(C113,Salespeople!$A$2:$A$11,Salespeople!$C$2:$C$11)</f>
        <v>EMEA</v>
      </c>
      <c r="G113" t="str">
        <f>_xlfn.XLOOKUP(C113,Salespeople!$A$2:$A$11,Salespeople!$D$2:$D$11)</f>
        <v>Kenya</v>
      </c>
      <c r="H113" s="3">
        <v>12</v>
      </c>
      <c r="I113" s="5">
        <f>_xlfn.XLOOKUP($D113,Products!$A$2:$A$16,Products!$D$2:$D$16)</f>
        <v>1150</v>
      </c>
      <c r="J113" s="5">
        <f>_xlfn.XLOOKUP(Sales!$D113,Products!$A$2:$A$16,Products!$E$2:$E$16)</f>
        <v>820</v>
      </c>
      <c r="K113" s="8" cm="1">
        <f t="array" ref="K113">_xlfn.IFS(H113&lt;=5,0%,H113&lt;=10,5%,H113&lt;=15,10%,H113&lt;=20,15%,H113&gt;20,20%)</f>
        <v>0.1</v>
      </c>
      <c r="L113" s="6">
        <f t="shared" si="3"/>
        <v>12420</v>
      </c>
      <c r="M113" s="6" cm="1">
        <f t="array" ref="M113">L113*_xlfn.IFS(L113&lt;=5000,0.02,L113&lt;=15000,0.04,L113&gt;15000,0.06)</f>
        <v>496.8</v>
      </c>
      <c r="N113" s="6">
        <f t="shared" si="4"/>
        <v>2580</v>
      </c>
      <c r="O113" s="8">
        <f t="shared" si="5"/>
        <v>0.20772946859903382</v>
      </c>
    </row>
    <row r="114" spans="1:15" x14ac:dyDescent="0.45">
      <c r="A114" t="s">
        <v>196</v>
      </c>
      <c r="B114" s="4">
        <v>45491</v>
      </c>
      <c r="C114" t="s">
        <v>33</v>
      </c>
      <c r="D114" t="s">
        <v>62</v>
      </c>
      <c r="E114" t="s">
        <v>14</v>
      </c>
      <c r="F114" t="str">
        <f>_xlfn.XLOOKUP(C114,Salespeople!$A$2:$A$11,Salespeople!$C$2:$C$11)</f>
        <v>EMEA</v>
      </c>
      <c r="G114" t="str">
        <f>_xlfn.XLOOKUP(C114,Salespeople!$A$2:$A$11,Salespeople!$D$2:$D$11)</f>
        <v>Kenya</v>
      </c>
      <c r="H114" s="3">
        <v>24</v>
      </c>
      <c r="I114" s="5">
        <f>_xlfn.XLOOKUP($D114,Products!$A$2:$A$16,Products!$D$2:$D$16)</f>
        <v>1750</v>
      </c>
      <c r="J114" s="5">
        <f>_xlfn.XLOOKUP(Sales!$D114,Products!$A$2:$A$16,Products!$E$2:$E$16)</f>
        <v>1300</v>
      </c>
      <c r="K114" s="8" cm="1">
        <f t="array" ref="K114">_xlfn.IFS(H114&lt;=5,0%,H114&lt;=10,5%,H114&lt;=15,10%,H114&lt;=20,15%,H114&gt;20,20%)</f>
        <v>0.2</v>
      </c>
      <c r="L114" s="6">
        <f t="shared" si="3"/>
        <v>33600</v>
      </c>
      <c r="M114" s="6" cm="1">
        <f t="array" ref="M114">L114*_xlfn.IFS(L114&lt;=5000,0.02,L114&lt;=15000,0.04,L114&gt;15000,0.06)</f>
        <v>2016</v>
      </c>
      <c r="N114" s="6">
        <f t="shared" si="4"/>
        <v>2400</v>
      </c>
      <c r="O114" s="8">
        <f t="shared" si="5"/>
        <v>7.1428571428571425E-2</v>
      </c>
    </row>
    <row r="115" spans="1:15" x14ac:dyDescent="0.45">
      <c r="A115" t="s">
        <v>197</v>
      </c>
      <c r="B115" s="4">
        <v>45541</v>
      </c>
      <c r="C115" t="s">
        <v>51</v>
      </c>
      <c r="D115" t="s">
        <v>79</v>
      </c>
      <c r="E115" t="s">
        <v>48</v>
      </c>
      <c r="F115" t="str">
        <f>_xlfn.XLOOKUP(C115,Salespeople!$A$2:$A$11,Salespeople!$C$2:$C$11)</f>
        <v>Americas</v>
      </c>
      <c r="G115" t="str">
        <f>_xlfn.XLOOKUP(C115,Salespeople!$A$2:$A$11,Salespeople!$D$2:$D$11)</f>
        <v>Mexico</v>
      </c>
      <c r="H115" s="3">
        <v>16</v>
      </c>
      <c r="I115" s="5">
        <f>_xlfn.XLOOKUP($D115,Products!$A$2:$A$16,Products!$D$2:$D$16)</f>
        <v>240</v>
      </c>
      <c r="J115" s="5">
        <f>_xlfn.XLOOKUP(Sales!$D115,Products!$A$2:$A$16,Products!$E$2:$E$16)</f>
        <v>150</v>
      </c>
      <c r="K115" s="8" cm="1">
        <f t="array" ref="K115">_xlfn.IFS(H115&lt;=5,0%,H115&lt;=10,5%,H115&lt;=15,10%,H115&lt;=20,15%,H115&gt;20,20%)</f>
        <v>0.15</v>
      </c>
      <c r="L115" s="6">
        <f t="shared" si="3"/>
        <v>3264</v>
      </c>
      <c r="M115" s="6" cm="1">
        <f t="array" ref="M115">L115*_xlfn.IFS(L115&lt;=5000,0.02,L115&lt;=15000,0.04,L115&gt;15000,0.06)</f>
        <v>65.28</v>
      </c>
      <c r="N115" s="6">
        <f t="shared" si="4"/>
        <v>864</v>
      </c>
      <c r="O115" s="8">
        <f t="shared" si="5"/>
        <v>0.26470588235294118</v>
      </c>
    </row>
    <row r="116" spans="1:15" x14ac:dyDescent="0.45">
      <c r="A116" t="s">
        <v>198</v>
      </c>
      <c r="B116" s="4">
        <v>45491</v>
      </c>
      <c r="C116" t="s">
        <v>83</v>
      </c>
      <c r="D116" t="s">
        <v>74</v>
      </c>
      <c r="E116" t="s">
        <v>14</v>
      </c>
      <c r="F116" t="str">
        <f>_xlfn.XLOOKUP(C116,Salespeople!$A$2:$A$11,Salespeople!$C$2:$C$11)</f>
        <v>EMEA</v>
      </c>
      <c r="G116" t="str">
        <f>_xlfn.XLOOKUP(C116,Salespeople!$A$2:$A$11,Salespeople!$D$2:$D$11)</f>
        <v>United Arab Emirates</v>
      </c>
      <c r="H116" s="3">
        <v>13</v>
      </c>
      <c r="I116" s="5">
        <f>_xlfn.XLOOKUP($D116,Products!$A$2:$A$16,Products!$D$2:$D$16)</f>
        <v>210</v>
      </c>
      <c r="J116" s="5">
        <f>_xlfn.XLOOKUP(Sales!$D116,Products!$A$2:$A$16,Products!$E$2:$E$16)</f>
        <v>120</v>
      </c>
      <c r="K116" s="8" cm="1">
        <f t="array" ref="K116">_xlfn.IFS(H116&lt;=5,0%,H116&lt;=10,5%,H116&lt;=15,10%,H116&lt;=20,15%,H116&gt;20,20%)</f>
        <v>0.1</v>
      </c>
      <c r="L116" s="6">
        <f t="shared" si="3"/>
        <v>2457</v>
      </c>
      <c r="M116" s="6" cm="1">
        <f t="array" ref="M116">L116*_xlfn.IFS(L116&lt;=5000,0.02,L116&lt;=15000,0.04,L116&gt;15000,0.06)</f>
        <v>49.14</v>
      </c>
      <c r="N116" s="6">
        <f t="shared" si="4"/>
        <v>897</v>
      </c>
      <c r="O116" s="8">
        <f t="shared" si="5"/>
        <v>0.36507936507936506</v>
      </c>
    </row>
    <row r="117" spans="1:15" x14ac:dyDescent="0.45">
      <c r="A117" t="s">
        <v>199</v>
      </c>
      <c r="B117" s="4">
        <v>45531</v>
      </c>
      <c r="C117" t="s">
        <v>26</v>
      </c>
      <c r="D117" t="s">
        <v>40</v>
      </c>
      <c r="E117" t="s">
        <v>14</v>
      </c>
      <c r="F117" t="str">
        <f>_xlfn.XLOOKUP(C117,Salespeople!$A$2:$A$11,Salespeople!$C$2:$C$11)</f>
        <v>APAC</v>
      </c>
      <c r="G117" t="str">
        <f>_xlfn.XLOOKUP(C117,Salespeople!$A$2:$A$11,Salespeople!$D$2:$D$11)</f>
        <v>Singapore</v>
      </c>
      <c r="H117" s="3">
        <v>1</v>
      </c>
      <c r="I117" s="5">
        <f>_xlfn.XLOOKUP($D117,Products!$A$2:$A$16,Products!$D$2:$D$16)</f>
        <v>1050</v>
      </c>
      <c r="J117" s="5">
        <f>_xlfn.XLOOKUP(Sales!$D117,Products!$A$2:$A$16,Products!$E$2:$E$16)</f>
        <v>760</v>
      </c>
      <c r="K117" s="8" cm="1">
        <f t="array" ref="K117">_xlfn.IFS(H117&lt;=5,0%,H117&lt;=10,5%,H117&lt;=15,10%,H117&lt;=20,15%,H117&gt;20,20%)</f>
        <v>0</v>
      </c>
      <c r="L117" s="6">
        <f t="shared" si="3"/>
        <v>1050</v>
      </c>
      <c r="M117" s="6" cm="1">
        <f t="array" ref="M117">L117*_xlfn.IFS(L117&lt;=5000,0.02,L117&lt;=15000,0.04,L117&gt;15000,0.06)</f>
        <v>21</v>
      </c>
      <c r="N117" s="6">
        <f t="shared" si="4"/>
        <v>290</v>
      </c>
      <c r="O117" s="8">
        <f t="shared" si="5"/>
        <v>0.27619047619047621</v>
      </c>
    </row>
    <row r="118" spans="1:15" x14ac:dyDescent="0.45">
      <c r="A118" t="s">
        <v>200</v>
      </c>
      <c r="B118" s="4">
        <v>45595</v>
      </c>
      <c r="C118" t="s">
        <v>139</v>
      </c>
      <c r="D118" t="s">
        <v>74</v>
      </c>
      <c r="E118" t="s">
        <v>23</v>
      </c>
      <c r="F118" t="str">
        <f>_xlfn.XLOOKUP(C118,Salespeople!$A$2:$A$11,Salespeople!$C$2:$C$11)</f>
        <v>Americas</v>
      </c>
      <c r="G118" t="str">
        <f>_xlfn.XLOOKUP(C118,Salespeople!$A$2:$A$11,Salespeople!$D$2:$D$11)</f>
        <v>Canada</v>
      </c>
      <c r="H118" s="3">
        <v>3</v>
      </c>
      <c r="I118" s="5">
        <f>_xlfn.XLOOKUP($D118,Products!$A$2:$A$16,Products!$D$2:$D$16)</f>
        <v>210</v>
      </c>
      <c r="J118" s="5">
        <f>_xlfn.XLOOKUP(Sales!$D118,Products!$A$2:$A$16,Products!$E$2:$E$16)</f>
        <v>120</v>
      </c>
      <c r="K118" s="8" cm="1">
        <f t="array" ref="K118">_xlfn.IFS(H118&lt;=5,0%,H118&lt;=10,5%,H118&lt;=15,10%,H118&lt;=20,15%,H118&gt;20,20%)</f>
        <v>0</v>
      </c>
      <c r="L118" s="6">
        <f t="shared" si="3"/>
        <v>630</v>
      </c>
      <c r="M118" s="6" cm="1">
        <f t="array" ref="M118">L118*_xlfn.IFS(L118&lt;=5000,0.02,L118&lt;=15000,0.04,L118&gt;15000,0.06)</f>
        <v>12.6</v>
      </c>
      <c r="N118" s="6">
        <f t="shared" si="4"/>
        <v>270</v>
      </c>
      <c r="O118" s="8">
        <f t="shared" si="5"/>
        <v>0.42857142857142855</v>
      </c>
    </row>
    <row r="119" spans="1:15" x14ac:dyDescent="0.45">
      <c r="A119" t="s">
        <v>201</v>
      </c>
      <c r="B119" s="4">
        <v>45361</v>
      </c>
      <c r="C119" t="s">
        <v>60</v>
      </c>
      <c r="D119" t="s">
        <v>121</v>
      </c>
      <c r="E119" t="s">
        <v>23</v>
      </c>
      <c r="F119" t="str">
        <f>_xlfn.XLOOKUP(C119,Salespeople!$A$2:$A$11,Salespeople!$C$2:$C$11)</f>
        <v>APAC</v>
      </c>
      <c r="G119" t="str">
        <f>_xlfn.XLOOKUP(C119,Salespeople!$A$2:$A$11,Salespeople!$D$2:$D$11)</f>
        <v>Japan</v>
      </c>
      <c r="H119" s="3">
        <v>9</v>
      </c>
      <c r="I119" s="5">
        <f>_xlfn.XLOOKUP($D119,Products!$A$2:$A$16,Products!$D$2:$D$16)</f>
        <v>45</v>
      </c>
      <c r="J119" s="5">
        <f>_xlfn.XLOOKUP(Sales!$D119,Products!$A$2:$A$16,Products!$E$2:$E$16)</f>
        <v>19</v>
      </c>
      <c r="K119" s="8" cm="1">
        <f t="array" ref="K119">_xlfn.IFS(H119&lt;=5,0%,H119&lt;=10,5%,H119&lt;=15,10%,H119&lt;=20,15%,H119&gt;20,20%)</f>
        <v>0.05</v>
      </c>
      <c r="L119" s="6">
        <f t="shared" si="3"/>
        <v>384.75</v>
      </c>
      <c r="M119" s="6" cm="1">
        <f t="array" ref="M119">L119*_xlfn.IFS(L119&lt;=5000,0.02,L119&lt;=15000,0.04,L119&gt;15000,0.06)</f>
        <v>7.6950000000000003</v>
      </c>
      <c r="N119" s="6">
        <f t="shared" si="4"/>
        <v>213.75</v>
      </c>
      <c r="O119" s="8">
        <f t="shared" si="5"/>
        <v>0.55555555555555558</v>
      </c>
    </row>
    <row r="120" spans="1:15" x14ac:dyDescent="0.45">
      <c r="A120" t="s">
        <v>202</v>
      </c>
      <c r="B120" s="4">
        <v>45459</v>
      </c>
      <c r="C120" t="s">
        <v>51</v>
      </c>
      <c r="D120" t="s">
        <v>103</v>
      </c>
      <c r="E120" t="s">
        <v>48</v>
      </c>
      <c r="F120" t="str">
        <f>_xlfn.XLOOKUP(C120,Salespeople!$A$2:$A$11,Salespeople!$C$2:$C$11)</f>
        <v>Americas</v>
      </c>
      <c r="G120" t="str">
        <f>_xlfn.XLOOKUP(C120,Salespeople!$A$2:$A$11,Salespeople!$D$2:$D$11)</f>
        <v>Mexico</v>
      </c>
      <c r="H120" s="3">
        <v>11</v>
      </c>
      <c r="I120" s="5">
        <f>_xlfn.XLOOKUP($D120,Products!$A$2:$A$16,Products!$D$2:$D$16)</f>
        <v>1150</v>
      </c>
      <c r="J120" s="5">
        <f>_xlfn.XLOOKUP(Sales!$D120,Products!$A$2:$A$16,Products!$E$2:$E$16)</f>
        <v>820</v>
      </c>
      <c r="K120" s="8" cm="1">
        <f t="array" ref="K120">_xlfn.IFS(H120&lt;=5,0%,H120&lt;=10,5%,H120&lt;=15,10%,H120&lt;=20,15%,H120&gt;20,20%)</f>
        <v>0.1</v>
      </c>
      <c r="L120" s="6">
        <f t="shared" si="3"/>
        <v>11385</v>
      </c>
      <c r="M120" s="6" cm="1">
        <f t="array" ref="M120">L120*_xlfn.IFS(L120&lt;=5000,0.02,L120&lt;=15000,0.04,L120&gt;15000,0.06)</f>
        <v>455.40000000000003</v>
      </c>
      <c r="N120" s="6">
        <f t="shared" si="4"/>
        <v>2365</v>
      </c>
      <c r="O120" s="8">
        <f t="shared" si="5"/>
        <v>0.20772946859903382</v>
      </c>
    </row>
    <row r="121" spans="1:15" x14ac:dyDescent="0.45">
      <c r="A121" t="s">
        <v>203</v>
      </c>
      <c r="B121" s="4">
        <v>45434</v>
      </c>
      <c r="C121" t="s">
        <v>33</v>
      </c>
      <c r="D121" t="s">
        <v>79</v>
      </c>
      <c r="E121" t="s">
        <v>23</v>
      </c>
      <c r="F121" t="str">
        <f>_xlfn.XLOOKUP(C121,Salespeople!$A$2:$A$11,Salespeople!$C$2:$C$11)</f>
        <v>EMEA</v>
      </c>
      <c r="G121" t="str">
        <f>_xlfn.XLOOKUP(C121,Salespeople!$A$2:$A$11,Salespeople!$D$2:$D$11)</f>
        <v>Kenya</v>
      </c>
      <c r="H121" s="3">
        <v>16</v>
      </c>
      <c r="I121" s="5">
        <f>_xlfn.XLOOKUP($D121,Products!$A$2:$A$16,Products!$D$2:$D$16)</f>
        <v>240</v>
      </c>
      <c r="J121" s="5">
        <f>_xlfn.XLOOKUP(Sales!$D121,Products!$A$2:$A$16,Products!$E$2:$E$16)</f>
        <v>150</v>
      </c>
      <c r="K121" s="8" cm="1">
        <f t="array" ref="K121">_xlfn.IFS(H121&lt;=5,0%,H121&lt;=10,5%,H121&lt;=15,10%,H121&lt;=20,15%,H121&gt;20,20%)</f>
        <v>0.15</v>
      </c>
      <c r="L121" s="6">
        <f t="shared" si="3"/>
        <v>3264</v>
      </c>
      <c r="M121" s="6" cm="1">
        <f t="array" ref="M121">L121*_xlfn.IFS(L121&lt;=5000,0.02,L121&lt;=15000,0.04,L121&gt;15000,0.06)</f>
        <v>65.28</v>
      </c>
      <c r="N121" s="6">
        <f t="shared" si="4"/>
        <v>864</v>
      </c>
      <c r="O121" s="8">
        <f t="shared" si="5"/>
        <v>0.26470588235294118</v>
      </c>
    </row>
    <row r="122" spans="1:15" x14ac:dyDescent="0.45">
      <c r="A122" t="s">
        <v>204</v>
      </c>
      <c r="B122" s="4">
        <v>45568</v>
      </c>
      <c r="C122" t="s">
        <v>131</v>
      </c>
      <c r="D122" t="s">
        <v>56</v>
      </c>
      <c r="E122" t="s">
        <v>23</v>
      </c>
      <c r="F122" t="str">
        <f>_xlfn.XLOOKUP(C122,Salespeople!$A$2:$A$11,Salespeople!$C$2:$C$11)</f>
        <v>EMEA</v>
      </c>
      <c r="G122" t="str">
        <f>_xlfn.XLOOKUP(C122,Salespeople!$A$2:$A$11,Salespeople!$D$2:$D$11)</f>
        <v>United Kingdom</v>
      </c>
      <c r="H122" s="3">
        <v>21</v>
      </c>
      <c r="I122" s="5">
        <f>_xlfn.XLOOKUP($D122,Products!$A$2:$A$16,Products!$D$2:$D$16)</f>
        <v>520</v>
      </c>
      <c r="J122" s="5">
        <f>_xlfn.XLOOKUP(Sales!$D122,Products!$A$2:$A$16,Products!$E$2:$E$16)</f>
        <v>360</v>
      </c>
      <c r="K122" s="8" cm="1">
        <f t="array" ref="K122">_xlfn.IFS(H122&lt;=5,0%,H122&lt;=10,5%,H122&lt;=15,10%,H122&lt;=20,15%,H122&gt;20,20%)</f>
        <v>0.2</v>
      </c>
      <c r="L122" s="6">
        <f t="shared" si="3"/>
        <v>8736</v>
      </c>
      <c r="M122" s="6" cm="1">
        <f t="array" ref="M122">L122*_xlfn.IFS(L122&lt;=5000,0.02,L122&lt;=15000,0.04,L122&gt;15000,0.06)</f>
        <v>349.44</v>
      </c>
      <c r="N122" s="6">
        <f t="shared" si="4"/>
        <v>1176</v>
      </c>
      <c r="O122" s="8">
        <f t="shared" si="5"/>
        <v>0.13461538461538461</v>
      </c>
    </row>
    <row r="123" spans="1:15" x14ac:dyDescent="0.45">
      <c r="A123" t="s">
        <v>205</v>
      </c>
      <c r="B123" s="4">
        <v>45625</v>
      </c>
      <c r="C123" t="s">
        <v>131</v>
      </c>
      <c r="D123" t="s">
        <v>53</v>
      </c>
      <c r="E123" t="s">
        <v>23</v>
      </c>
      <c r="F123" t="str">
        <f>_xlfn.XLOOKUP(C123,Salespeople!$A$2:$A$11,Salespeople!$C$2:$C$11)</f>
        <v>EMEA</v>
      </c>
      <c r="G123" t="str">
        <f>_xlfn.XLOOKUP(C123,Salespeople!$A$2:$A$11,Salespeople!$D$2:$D$11)</f>
        <v>United Kingdom</v>
      </c>
      <c r="H123" s="3">
        <v>8</v>
      </c>
      <c r="I123" s="5">
        <f>_xlfn.XLOOKUP($D123,Products!$A$2:$A$16,Products!$D$2:$D$16)</f>
        <v>130</v>
      </c>
      <c r="J123" s="5">
        <f>_xlfn.XLOOKUP(Sales!$D123,Products!$A$2:$A$16,Products!$E$2:$E$16)</f>
        <v>62</v>
      </c>
      <c r="K123" s="8" cm="1">
        <f t="array" ref="K123">_xlfn.IFS(H123&lt;=5,0%,H123&lt;=10,5%,H123&lt;=15,10%,H123&lt;=20,15%,H123&gt;20,20%)</f>
        <v>0.05</v>
      </c>
      <c r="L123" s="6">
        <f t="shared" si="3"/>
        <v>988</v>
      </c>
      <c r="M123" s="6" cm="1">
        <f t="array" ref="M123">L123*_xlfn.IFS(L123&lt;=5000,0.02,L123&lt;=15000,0.04,L123&gt;15000,0.06)</f>
        <v>19.760000000000002</v>
      </c>
      <c r="N123" s="6">
        <f t="shared" si="4"/>
        <v>492</v>
      </c>
      <c r="O123" s="8">
        <f t="shared" si="5"/>
        <v>0.49797570850202427</v>
      </c>
    </row>
    <row r="124" spans="1:15" x14ac:dyDescent="0.45">
      <c r="A124" t="s">
        <v>206</v>
      </c>
      <c r="B124" s="4">
        <v>45302</v>
      </c>
      <c r="C124" t="s">
        <v>139</v>
      </c>
      <c r="D124" t="s">
        <v>121</v>
      </c>
      <c r="E124" t="s">
        <v>23</v>
      </c>
      <c r="F124" t="str">
        <f>_xlfn.XLOOKUP(C124,Salespeople!$A$2:$A$11,Salespeople!$C$2:$C$11)</f>
        <v>Americas</v>
      </c>
      <c r="G124" t="str">
        <f>_xlfn.XLOOKUP(C124,Salespeople!$A$2:$A$11,Salespeople!$D$2:$D$11)</f>
        <v>Canada</v>
      </c>
      <c r="H124" s="3">
        <v>5</v>
      </c>
      <c r="I124" s="5">
        <f>_xlfn.XLOOKUP($D124,Products!$A$2:$A$16,Products!$D$2:$D$16)</f>
        <v>45</v>
      </c>
      <c r="J124" s="5">
        <f>_xlfn.XLOOKUP(Sales!$D124,Products!$A$2:$A$16,Products!$E$2:$E$16)</f>
        <v>19</v>
      </c>
      <c r="K124" s="8" cm="1">
        <f t="array" ref="K124">_xlfn.IFS(H124&lt;=5,0%,H124&lt;=10,5%,H124&lt;=15,10%,H124&lt;=20,15%,H124&gt;20,20%)</f>
        <v>0</v>
      </c>
      <c r="L124" s="6">
        <f t="shared" si="3"/>
        <v>225</v>
      </c>
      <c r="M124" s="6" cm="1">
        <f t="array" ref="M124">L124*_xlfn.IFS(L124&lt;=5000,0.02,L124&lt;=15000,0.04,L124&gt;15000,0.06)</f>
        <v>4.5</v>
      </c>
      <c r="N124" s="6">
        <f t="shared" si="4"/>
        <v>130</v>
      </c>
      <c r="O124" s="8">
        <f t="shared" si="5"/>
        <v>0.57777777777777772</v>
      </c>
    </row>
    <row r="125" spans="1:15" x14ac:dyDescent="0.45">
      <c r="A125" t="s">
        <v>207</v>
      </c>
      <c r="B125" s="4">
        <v>45634</v>
      </c>
      <c r="C125" t="s">
        <v>17</v>
      </c>
      <c r="D125" t="s">
        <v>40</v>
      </c>
      <c r="E125" t="s">
        <v>23</v>
      </c>
      <c r="F125" t="str">
        <f>_xlfn.XLOOKUP(C125,Salespeople!$A$2:$A$11,Salespeople!$C$2:$C$11)</f>
        <v>EMEA</v>
      </c>
      <c r="G125" t="str">
        <f>_xlfn.XLOOKUP(C125,Salespeople!$A$2:$A$11,Salespeople!$D$2:$D$11)</f>
        <v>Portugal</v>
      </c>
      <c r="H125" s="3">
        <v>15</v>
      </c>
      <c r="I125" s="5">
        <f>_xlfn.XLOOKUP($D125,Products!$A$2:$A$16,Products!$D$2:$D$16)</f>
        <v>1050</v>
      </c>
      <c r="J125" s="5">
        <f>_xlfn.XLOOKUP(Sales!$D125,Products!$A$2:$A$16,Products!$E$2:$E$16)</f>
        <v>760</v>
      </c>
      <c r="K125" s="8" cm="1">
        <f t="array" ref="K125">_xlfn.IFS(H125&lt;=5,0%,H125&lt;=10,5%,H125&lt;=15,10%,H125&lt;=20,15%,H125&gt;20,20%)</f>
        <v>0.1</v>
      </c>
      <c r="L125" s="6">
        <f t="shared" si="3"/>
        <v>14175</v>
      </c>
      <c r="M125" s="6" cm="1">
        <f t="array" ref="M125">L125*_xlfn.IFS(L125&lt;=5000,0.02,L125&lt;=15000,0.04,L125&gt;15000,0.06)</f>
        <v>567</v>
      </c>
      <c r="N125" s="6">
        <f t="shared" si="4"/>
        <v>2775</v>
      </c>
      <c r="O125" s="8">
        <f t="shared" si="5"/>
        <v>0.19576719576719576</v>
      </c>
    </row>
    <row r="126" spans="1:15" x14ac:dyDescent="0.45">
      <c r="A126" t="s">
        <v>208</v>
      </c>
      <c r="B126" s="4">
        <v>45480</v>
      </c>
      <c r="C126" t="s">
        <v>26</v>
      </c>
      <c r="D126" t="s">
        <v>40</v>
      </c>
      <c r="E126" t="s">
        <v>14</v>
      </c>
      <c r="F126" t="str">
        <f>_xlfn.XLOOKUP(C126,Salespeople!$A$2:$A$11,Salespeople!$C$2:$C$11)</f>
        <v>APAC</v>
      </c>
      <c r="G126" t="str">
        <f>_xlfn.XLOOKUP(C126,Salespeople!$A$2:$A$11,Salespeople!$D$2:$D$11)</f>
        <v>Singapore</v>
      </c>
      <c r="H126" s="3">
        <v>24</v>
      </c>
      <c r="I126" s="5">
        <f>_xlfn.XLOOKUP($D126,Products!$A$2:$A$16,Products!$D$2:$D$16)</f>
        <v>1050</v>
      </c>
      <c r="J126" s="5">
        <f>_xlfn.XLOOKUP(Sales!$D126,Products!$A$2:$A$16,Products!$E$2:$E$16)</f>
        <v>760</v>
      </c>
      <c r="K126" s="8" cm="1">
        <f t="array" ref="K126">_xlfn.IFS(H126&lt;=5,0%,H126&lt;=10,5%,H126&lt;=15,10%,H126&lt;=20,15%,H126&gt;20,20%)</f>
        <v>0.2</v>
      </c>
      <c r="L126" s="6">
        <f t="shared" si="3"/>
        <v>20160</v>
      </c>
      <c r="M126" s="6" cm="1">
        <f t="array" ref="M126">L126*_xlfn.IFS(L126&lt;=5000,0.02,L126&lt;=15000,0.04,L126&gt;15000,0.06)</f>
        <v>1209.5999999999999</v>
      </c>
      <c r="N126" s="6">
        <f t="shared" si="4"/>
        <v>1920</v>
      </c>
      <c r="O126" s="8">
        <f t="shared" si="5"/>
        <v>9.5238095238095233E-2</v>
      </c>
    </row>
    <row r="127" spans="1:15" x14ac:dyDescent="0.45">
      <c r="A127" t="s">
        <v>209</v>
      </c>
      <c r="B127" s="4">
        <v>45375</v>
      </c>
      <c r="C127" t="s">
        <v>66</v>
      </c>
      <c r="D127" t="s">
        <v>134</v>
      </c>
      <c r="E127" t="s">
        <v>14</v>
      </c>
      <c r="F127" t="str">
        <f>_xlfn.XLOOKUP(C127,Salespeople!$A$2:$A$11,Salespeople!$C$2:$C$11)</f>
        <v>Americas</v>
      </c>
      <c r="G127" t="str">
        <f>_xlfn.XLOOKUP(C127,Salespeople!$A$2:$A$11,Salespeople!$D$2:$D$11)</f>
        <v>United States</v>
      </c>
      <c r="H127" s="3">
        <v>1</v>
      </c>
      <c r="I127" s="5">
        <f>_xlfn.XLOOKUP($D127,Products!$A$2:$A$16,Products!$D$2:$D$16)</f>
        <v>79</v>
      </c>
      <c r="J127" s="5">
        <f>_xlfn.XLOOKUP(Sales!$D127,Products!$A$2:$A$16,Products!$E$2:$E$16)</f>
        <v>38</v>
      </c>
      <c r="K127" s="8" cm="1">
        <f t="array" ref="K127">_xlfn.IFS(H127&lt;=5,0%,H127&lt;=10,5%,H127&lt;=15,10%,H127&lt;=20,15%,H127&gt;20,20%)</f>
        <v>0</v>
      </c>
      <c r="L127" s="6">
        <f t="shared" si="3"/>
        <v>79</v>
      </c>
      <c r="M127" s="6" cm="1">
        <f t="array" ref="M127">L127*_xlfn.IFS(L127&lt;=5000,0.02,L127&lt;=15000,0.04,L127&gt;15000,0.06)</f>
        <v>1.58</v>
      </c>
      <c r="N127" s="6">
        <f t="shared" si="4"/>
        <v>41</v>
      </c>
      <c r="O127" s="8">
        <f t="shared" si="5"/>
        <v>0.51898734177215189</v>
      </c>
    </row>
    <row r="128" spans="1:15" x14ac:dyDescent="0.45">
      <c r="A128" t="s">
        <v>210</v>
      </c>
      <c r="B128" s="4">
        <v>45586</v>
      </c>
      <c r="C128" t="s">
        <v>33</v>
      </c>
      <c r="D128" t="s">
        <v>44</v>
      </c>
      <c r="E128" t="s">
        <v>14</v>
      </c>
      <c r="F128" t="str">
        <f>_xlfn.XLOOKUP(C128,Salespeople!$A$2:$A$11,Salespeople!$C$2:$C$11)</f>
        <v>EMEA</v>
      </c>
      <c r="G128" t="str">
        <f>_xlfn.XLOOKUP(C128,Salespeople!$A$2:$A$11,Salespeople!$D$2:$D$11)</f>
        <v>Kenya</v>
      </c>
      <c r="H128" s="3">
        <v>7</v>
      </c>
      <c r="I128" s="5">
        <f>_xlfn.XLOOKUP($D128,Products!$A$2:$A$16,Products!$D$2:$D$16)</f>
        <v>180</v>
      </c>
      <c r="J128" s="5">
        <f>_xlfn.XLOOKUP(Sales!$D128,Products!$A$2:$A$16,Products!$E$2:$E$16)</f>
        <v>105</v>
      </c>
      <c r="K128" s="8" cm="1">
        <f t="array" ref="K128">_xlfn.IFS(H128&lt;=5,0%,H128&lt;=10,5%,H128&lt;=15,10%,H128&lt;=20,15%,H128&gt;20,20%)</f>
        <v>0.05</v>
      </c>
      <c r="L128" s="6">
        <f t="shared" si="3"/>
        <v>1197</v>
      </c>
      <c r="M128" s="6" cm="1">
        <f t="array" ref="M128">L128*_xlfn.IFS(L128&lt;=5000,0.02,L128&lt;=15000,0.04,L128&gt;15000,0.06)</f>
        <v>23.94</v>
      </c>
      <c r="N128" s="6">
        <f t="shared" si="4"/>
        <v>462</v>
      </c>
      <c r="O128" s="8">
        <f t="shared" si="5"/>
        <v>0.38596491228070173</v>
      </c>
    </row>
    <row r="129" spans="1:15" x14ac:dyDescent="0.45">
      <c r="A129" t="s">
        <v>211</v>
      </c>
      <c r="B129" s="4">
        <v>45595</v>
      </c>
      <c r="C129" t="s">
        <v>51</v>
      </c>
      <c r="D129" t="s">
        <v>134</v>
      </c>
      <c r="E129" t="s">
        <v>14</v>
      </c>
      <c r="F129" t="str">
        <f>_xlfn.XLOOKUP(C129,Salespeople!$A$2:$A$11,Salespeople!$C$2:$C$11)</f>
        <v>Americas</v>
      </c>
      <c r="G129" t="str">
        <f>_xlfn.XLOOKUP(C129,Salespeople!$A$2:$A$11,Salespeople!$D$2:$D$11)</f>
        <v>Mexico</v>
      </c>
      <c r="H129" s="3">
        <v>25</v>
      </c>
      <c r="I129" s="5">
        <f>_xlfn.XLOOKUP($D129,Products!$A$2:$A$16,Products!$D$2:$D$16)</f>
        <v>79</v>
      </c>
      <c r="J129" s="5">
        <f>_xlfn.XLOOKUP(Sales!$D129,Products!$A$2:$A$16,Products!$E$2:$E$16)</f>
        <v>38</v>
      </c>
      <c r="K129" s="8" cm="1">
        <f t="array" ref="K129">_xlfn.IFS(H129&lt;=5,0%,H129&lt;=10,5%,H129&lt;=15,10%,H129&lt;=20,15%,H129&gt;20,20%)</f>
        <v>0.2</v>
      </c>
      <c r="L129" s="6">
        <f t="shared" si="3"/>
        <v>1580</v>
      </c>
      <c r="M129" s="6" cm="1">
        <f t="array" ref="M129">L129*_xlfn.IFS(L129&lt;=5000,0.02,L129&lt;=15000,0.04,L129&gt;15000,0.06)</f>
        <v>31.6</v>
      </c>
      <c r="N129" s="6">
        <f t="shared" si="4"/>
        <v>630</v>
      </c>
      <c r="O129" s="8">
        <f t="shared" si="5"/>
        <v>0.39873417721518989</v>
      </c>
    </row>
    <row r="130" spans="1:15" x14ac:dyDescent="0.45">
      <c r="A130" t="s">
        <v>212</v>
      </c>
      <c r="B130" s="4">
        <v>45642</v>
      </c>
      <c r="C130" t="s">
        <v>139</v>
      </c>
      <c r="D130" t="s">
        <v>53</v>
      </c>
      <c r="E130" t="s">
        <v>23</v>
      </c>
      <c r="F130" t="str">
        <f>_xlfn.XLOOKUP(C130,Salespeople!$A$2:$A$11,Salespeople!$C$2:$C$11)</f>
        <v>Americas</v>
      </c>
      <c r="G130" t="str">
        <f>_xlfn.XLOOKUP(C130,Salespeople!$A$2:$A$11,Salespeople!$D$2:$D$11)</f>
        <v>Canada</v>
      </c>
      <c r="H130" s="3">
        <v>19</v>
      </c>
      <c r="I130" s="5">
        <f>_xlfn.XLOOKUP($D130,Products!$A$2:$A$16,Products!$D$2:$D$16)</f>
        <v>130</v>
      </c>
      <c r="J130" s="5">
        <f>_xlfn.XLOOKUP(Sales!$D130,Products!$A$2:$A$16,Products!$E$2:$E$16)</f>
        <v>62</v>
      </c>
      <c r="K130" s="8" cm="1">
        <f t="array" ref="K130">_xlfn.IFS(H130&lt;=5,0%,H130&lt;=10,5%,H130&lt;=15,10%,H130&lt;=20,15%,H130&gt;20,20%)</f>
        <v>0.15</v>
      </c>
      <c r="L130" s="6">
        <f t="shared" si="3"/>
        <v>2099.5</v>
      </c>
      <c r="M130" s="6" cm="1">
        <f t="array" ref="M130">L130*_xlfn.IFS(L130&lt;=5000,0.02,L130&lt;=15000,0.04,L130&gt;15000,0.06)</f>
        <v>41.99</v>
      </c>
      <c r="N130" s="6">
        <f t="shared" si="4"/>
        <v>921.5</v>
      </c>
      <c r="O130" s="8">
        <f t="shared" si="5"/>
        <v>0.43891402714932126</v>
      </c>
    </row>
    <row r="131" spans="1:15" x14ac:dyDescent="0.45">
      <c r="A131" t="s">
        <v>213</v>
      </c>
      <c r="B131" s="4">
        <v>45469</v>
      </c>
      <c r="C131" t="s">
        <v>38</v>
      </c>
      <c r="D131" t="s">
        <v>44</v>
      </c>
      <c r="E131" t="s">
        <v>14</v>
      </c>
      <c r="F131" t="str">
        <f>_xlfn.XLOOKUP(C131,Salespeople!$A$2:$A$11,Salespeople!$C$2:$C$11)</f>
        <v>Americas</v>
      </c>
      <c r="G131" t="str">
        <f>_xlfn.XLOOKUP(C131,Salespeople!$A$2:$A$11,Salespeople!$D$2:$D$11)</f>
        <v>Brazil</v>
      </c>
      <c r="H131" s="3">
        <v>12</v>
      </c>
      <c r="I131" s="5">
        <f>_xlfn.XLOOKUP($D131,Products!$A$2:$A$16,Products!$D$2:$D$16)</f>
        <v>180</v>
      </c>
      <c r="J131" s="5">
        <f>_xlfn.XLOOKUP(Sales!$D131,Products!$A$2:$A$16,Products!$E$2:$E$16)</f>
        <v>105</v>
      </c>
      <c r="K131" s="8" cm="1">
        <f t="array" ref="K131">_xlfn.IFS(H131&lt;=5,0%,H131&lt;=10,5%,H131&lt;=15,10%,H131&lt;=20,15%,H131&gt;20,20%)</f>
        <v>0.1</v>
      </c>
      <c r="L131" s="6">
        <f t="shared" ref="L131:L194" si="6">H131*I131*(1-K131)</f>
        <v>1944</v>
      </c>
      <c r="M131" s="6" cm="1">
        <f t="array" ref="M131">L131*_xlfn.IFS(L131&lt;=5000,0.02,L131&lt;=15000,0.04,L131&gt;15000,0.06)</f>
        <v>38.880000000000003</v>
      </c>
      <c r="N131" s="6">
        <f t="shared" ref="N131:N194" si="7">L131-(H131*J131)</f>
        <v>684</v>
      </c>
      <c r="O131" s="8">
        <f t="shared" ref="O131:O194" si="8">N131/L131</f>
        <v>0.35185185185185186</v>
      </c>
    </row>
    <row r="132" spans="1:15" x14ac:dyDescent="0.45">
      <c r="A132" t="s">
        <v>214</v>
      </c>
      <c r="B132" s="4">
        <v>45551</v>
      </c>
      <c r="C132" t="s">
        <v>83</v>
      </c>
      <c r="D132" t="s">
        <v>19</v>
      </c>
      <c r="E132" t="s">
        <v>48</v>
      </c>
      <c r="F132" t="str">
        <f>_xlfn.XLOOKUP(C132,Salespeople!$A$2:$A$11,Salespeople!$C$2:$C$11)</f>
        <v>EMEA</v>
      </c>
      <c r="G132" t="str">
        <f>_xlfn.XLOOKUP(C132,Salespeople!$A$2:$A$11,Salespeople!$D$2:$D$11)</f>
        <v>United Arab Emirates</v>
      </c>
      <c r="H132" s="3">
        <v>16</v>
      </c>
      <c r="I132" s="5">
        <f>_xlfn.XLOOKUP($D132,Products!$A$2:$A$16,Products!$D$2:$D$16)</f>
        <v>25</v>
      </c>
      <c r="J132" s="5">
        <f>_xlfn.XLOOKUP(Sales!$D132,Products!$A$2:$A$16,Products!$E$2:$E$16)</f>
        <v>11</v>
      </c>
      <c r="K132" s="8" cm="1">
        <f t="array" ref="K132">_xlfn.IFS(H132&lt;=5,0%,H132&lt;=10,5%,H132&lt;=15,10%,H132&lt;=20,15%,H132&gt;20,20%)</f>
        <v>0.15</v>
      </c>
      <c r="L132" s="6">
        <f t="shared" si="6"/>
        <v>340</v>
      </c>
      <c r="M132" s="6" cm="1">
        <f t="array" ref="M132">L132*_xlfn.IFS(L132&lt;=5000,0.02,L132&lt;=15000,0.04,L132&gt;15000,0.06)</f>
        <v>6.8</v>
      </c>
      <c r="N132" s="6">
        <f t="shared" si="7"/>
        <v>164</v>
      </c>
      <c r="O132" s="8">
        <f t="shared" si="8"/>
        <v>0.4823529411764706</v>
      </c>
    </row>
    <row r="133" spans="1:15" x14ac:dyDescent="0.45">
      <c r="A133" t="s">
        <v>215</v>
      </c>
      <c r="B133" s="4">
        <v>45513</v>
      </c>
      <c r="C133" t="s">
        <v>83</v>
      </c>
      <c r="D133" t="s">
        <v>74</v>
      </c>
      <c r="E133" t="s">
        <v>48</v>
      </c>
      <c r="F133" t="str">
        <f>_xlfn.XLOOKUP(C133,Salespeople!$A$2:$A$11,Salespeople!$C$2:$C$11)</f>
        <v>EMEA</v>
      </c>
      <c r="G133" t="str">
        <f>_xlfn.XLOOKUP(C133,Salespeople!$A$2:$A$11,Salespeople!$D$2:$D$11)</f>
        <v>United Arab Emirates</v>
      </c>
      <c r="H133" s="3">
        <v>23</v>
      </c>
      <c r="I133" s="5">
        <f>_xlfn.XLOOKUP($D133,Products!$A$2:$A$16,Products!$D$2:$D$16)</f>
        <v>210</v>
      </c>
      <c r="J133" s="5">
        <f>_xlfn.XLOOKUP(Sales!$D133,Products!$A$2:$A$16,Products!$E$2:$E$16)</f>
        <v>120</v>
      </c>
      <c r="K133" s="8" cm="1">
        <f t="array" ref="K133">_xlfn.IFS(H133&lt;=5,0%,H133&lt;=10,5%,H133&lt;=15,10%,H133&lt;=20,15%,H133&gt;20,20%)</f>
        <v>0.2</v>
      </c>
      <c r="L133" s="6">
        <f t="shared" si="6"/>
        <v>3864</v>
      </c>
      <c r="M133" s="6" cm="1">
        <f t="array" ref="M133">L133*_xlfn.IFS(L133&lt;=5000,0.02,L133&lt;=15000,0.04,L133&gt;15000,0.06)</f>
        <v>77.28</v>
      </c>
      <c r="N133" s="6">
        <f t="shared" si="7"/>
        <v>1104</v>
      </c>
      <c r="O133" s="8">
        <f t="shared" si="8"/>
        <v>0.2857142857142857</v>
      </c>
    </row>
    <row r="134" spans="1:15" x14ac:dyDescent="0.45">
      <c r="A134" t="s">
        <v>216</v>
      </c>
      <c r="B134" s="4">
        <v>45514</v>
      </c>
      <c r="C134" t="s">
        <v>26</v>
      </c>
      <c r="D134" t="s">
        <v>28</v>
      </c>
      <c r="E134" t="s">
        <v>14</v>
      </c>
      <c r="F134" t="str">
        <f>_xlfn.XLOOKUP(C134,Salespeople!$A$2:$A$11,Salespeople!$C$2:$C$11)</f>
        <v>APAC</v>
      </c>
      <c r="G134" t="str">
        <f>_xlfn.XLOOKUP(C134,Salespeople!$A$2:$A$11,Salespeople!$D$2:$D$11)</f>
        <v>Singapore</v>
      </c>
      <c r="H134" s="3">
        <v>21</v>
      </c>
      <c r="I134" s="5">
        <f>_xlfn.XLOOKUP($D134,Products!$A$2:$A$16,Products!$D$2:$D$16)</f>
        <v>95</v>
      </c>
      <c r="J134" s="5">
        <f>_xlfn.XLOOKUP(Sales!$D134,Products!$A$2:$A$16,Products!$E$2:$E$16)</f>
        <v>44</v>
      </c>
      <c r="K134" s="8" cm="1">
        <f t="array" ref="K134">_xlfn.IFS(H134&lt;=5,0%,H134&lt;=10,5%,H134&lt;=15,10%,H134&lt;=20,15%,H134&gt;20,20%)</f>
        <v>0.2</v>
      </c>
      <c r="L134" s="6">
        <f t="shared" si="6"/>
        <v>1596</v>
      </c>
      <c r="M134" s="6" cm="1">
        <f t="array" ref="M134">L134*_xlfn.IFS(L134&lt;=5000,0.02,L134&lt;=15000,0.04,L134&gt;15000,0.06)</f>
        <v>31.92</v>
      </c>
      <c r="N134" s="6">
        <f t="shared" si="7"/>
        <v>672</v>
      </c>
      <c r="O134" s="8">
        <f t="shared" si="8"/>
        <v>0.42105263157894735</v>
      </c>
    </row>
    <row r="135" spans="1:15" x14ac:dyDescent="0.45">
      <c r="A135" t="s">
        <v>217</v>
      </c>
      <c r="B135" s="4">
        <v>45607</v>
      </c>
      <c r="C135" t="s">
        <v>38</v>
      </c>
      <c r="D135" t="s">
        <v>53</v>
      </c>
      <c r="E135" t="s">
        <v>48</v>
      </c>
      <c r="F135" t="str">
        <f>_xlfn.XLOOKUP(C135,Salespeople!$A$2:$A$11,Salespeople!$C$2:$C$11)</f>
        <v>Americas</v>
      </c>
      <c r="G135" t="str">
        <f>_xlfn.XLOOKUP(C135,Salespeople!$A$2:$A$11,Salespeople!$D$2:$D$11)</f>
        <v>Brazil</v>
      </c>
      <c r="H135" s="3">
        <v>15</v>
      </c>
      <c r="I135" s="5">
        <f>_xlfn.XLOOKUP($D135,Products!$A$2:$A$16,Products!$D$2:$D$16)</f>
        <v>130</v>
      </c>
      <c r="J135" s="5">
        <f>_xlfn.XLOOKUP(Sales!$D135,Products!$A$2:$A$16,Products!$E$2:$E$16)</f>
        <v>62</v>
      </c>
      <c r="K135" s="8" cm="1">
        <f t="array" ref="K135">_xlfn.IFS(H135&lt;=5,0%,H135&lt;=10,5%,H135&lt;=15,10%,H135&lt;=20,15%,H135&gt;20,20%)</f>
        <v>0.1</v>
      </c>
      <c r="L135" s="6">
        <f t="shared" si="6"/>
        <v>1755</v>
      </c>
      <c r="M135" s="6" cm="1">
        <f t="array" ref="M135">L135*_xlfn.IFS(L135&lt;=5000,0.02,L135&lt;=15000,0.04,L135&gt;15000,0.06)</f>
        <v>35.1</v>
      </c>
      <c r="N135" s="6">
        <f t="shared" si="7"/>
        <v>825</v>
      </c>
      <c r="O135" s="8">
        <f t="shared" si="8"/>
        <v>0.47008547008547008</v>
      </c>
    </row>
    <row r="136" spans="1:15" x14ac:dyDescent="0.45">
      <c r="A136" t="s">
        <v>218</v>
      </c>
      <c r="B136" s="4">
        <v>45595</v>
      </c>
      <c r="C136" t="s">
        <v>66</v>
      </c>
      <c r="D136" t="s">
        <v>56</v>
      </c>
      <c r="E136" t="s">
        <v>23</v>
      </c>
      <c r="F136" t="str">
        <f>_xlfn.XLOOKUP(C136,Salespeople!$A$2:$A$11,Salespeople!$C$2:$C$11)</f>
        <v>Americas</v>
      </c>
      <c r="G136" t="str">
        <f>_xlfn.XLOOKUP(C136,Salespeople!$A$2:$A$11,Salespeople!$D$2:$D$11)</f>
        <v>United States</v>
      </c>
      <c r="H136" s="3">
        <v>3</v>
      </c>
      <c r="I136" s="5">
        <f>_xlfn.XLOOKUP($D136,Products!$A$2:$A$16,Products!$D$2:$D$16)</f>
        <v>520</v>
      </c>
      <c r="J136" s="5">
        <f>_xlfn.XLOOKUP(Sales!$D136,Products!$A$2:$A$16,Products!$E$2:$E$16)</f>
        <v>360</v>
      </c>
      <c r="K136" s="8" cm="1">
        <f t="array" ref="K136">_xlfn.IFS(H136&lt;=5,0%,H136&lt;=10,5%,H136&lt;=15,10%,H136&lt;=20,15%,H136&gt;20,20%)</f>
        <v>0</v>
      </c>
      <c r="L136" s="6">
        <f t="shared" si="6"/>
        <v>1560</v>
      </c>
      <c r="M136" s="6" cm="1">
        <f t="array" ref="M136">L136*_xlfn.IFS(L136&lt;=5000,0.02,L136&lt;=15000,0.04,L136&gt;15000,0.06)</f>
        <v>31.2</v>
      </c>
      <c r="N136" s="6">
        <f t="shared" si="7"/>
        <v>480</v>
      </c>
      <c r="O136" s="8">
        <f t="shared" si="8"/>
        <v>0.30769230769230771</v>
      </c>
    </row>
    <row r="137" spans="1:15" x14ac:dyDescent="0.45">
      <c r="A137" t="s">
        <v>219</v>
      </c>
      <c r="B137" s="4">
        <v>45522</v>
      </c>
      <c r="C137" t="s">
        <v>51</v>
      </c>
      <c r="D137" t="s">
        <v>53</v>
      </c>
      <c r="E137" t="s">
        <v>48</v>
      </c>
      <c r="F137" t="str">
        <f>_xlfn.XLOOKUP(C137,Salespeople!$A$2:$A$11,Salespeople!$C$2:$C$11)</f>
        <v>Americas</v>
      </c>
      <c r="G137" t="str">
        <f>_xlfn.XLOOKUP(C137,Salespeople!$A$2:$A$11,Salespeople!$D$2:$D$11)</f>
        <v>Mexico</v>
      </c>
      <c r="H137" s="3">
        <v>19</v>
      </c>
      <c r="I137" s="5">
        <f>_xlfn.XLOOKUP($D137,Products!$A$2:$A$16,Products!$D$2:$D$16)</f>
        <v>130</v>
      </c>
      <c r="J137" s="5">
        <f>_xlfn.XLOOKUP(Sales!$D137,Products!$A$2:$A$16,Products!$E$2:$E$16)</f>
        <v>62</v>
      </c>
      <c r="K137" s="8" cm="1">
        <f t="array" ref="K137">_xlfn.IFS(H137&lt;=5,0%,H137&lt;=10,5%,H137&lt;=15,10%,H137&lt;=20,15%,H137&gt;20,20%)</f>
        <v>0.15</v>
      </c>
      <c r="L137" s="6">
        <f t="shared" si="6"/>
        <v>2099.5</v>
      </c>
      <c r="M137" s="6" cm="1">
        <f t="array" ref="M137">L137*_xlfn.IFS(L137&lt;=5000,0.02,L137&lt;=15000,0.04,L137&gt;15000,0.06)</f>
        <v>41.99</v>
      </c>
      <c r="N137" s="6">
        <f t="shared" si="7"/>
        <v>921.5</v>
      </c>
      <c r="O137" s="8">
        <f t="shared" si="8"/>
        <v>0.43891402714932126</v>
      </c>
    </row>
    <row r="138" spans="1:15" x14ac:dyDescent="0.45">
      <c r="A138" t="s">
        <v>220</v>
      </c>
      <c r="B138" s="4">
        <v>45464</v>
      </c>
      <c r="C138" t="s">
        <v>131</v>
      </c>
      <c r="D138" t="s">
        <v>103</v>
      </c>
      <c r="E138" t="s">
        <v>48</v>
      </c>
      <c r="F138" t="str">
        <f>_xlfn.XLOOKUP(C138,Salespeople!$A$2:$A$11,Salespeople!$C$2:$C$11)</f>
        <v>EMEA</v>
      </c>
      <c r="G138" t="str">
        <f>_xlfn.XLOOKUP(C138,Salespeople!$A$2:$A$11,Salespeople!$D$2:$D$11)</f>
        <v>United Kingdom</v>
      </c>
      <c r="H138" s="3">
        <v>6</v>
      </c>
      <c r="I138" s="5">
        <f>_xlfn.XLOOKUP($D138,Products!$A$2:$A$16,Products!$D$2:$D$16)</f>
        <v>1150</v>
      </c>
      <c r="J138" s="5">
        <f>_xlfn.XLOOKUP(Sales!$D138,Products!$A$2:$A$16,Products!$E$2:$E$16)</f>
        <v>820</v>
      </c>
      <c r="K138" s="8" cm="1">
        <f t="array" ref="K138">_xlfn.IFS(H138&lt;=5,0%,H138&lt;=10,5%,H138&lt;=15,10%,H138&lt;=20,15%,H138&gt;20,20%)</f>
        <v>0.05</v>
      </c>
      <c r="L138" s="6">
        <f t="shared" si="6"/>
        <v>6555</v>
      </c>
      <c r="M138" s="6" cm="1">
        <f t="array" ref="M138">L138*_xlfn.IFS(L138&lt;=5000,0.02,L138&lt;=15000,0.04,L138&gt;15000,0.06)</f>
        <v>262.2</v>
      </c>
      <c r="N138" s="6">
        <f t="shared" si="7"/>
        <v>1635</v>
      </c>
      <c r="O138" s="8">
        <f t="shared" si="8"/>
        <v>0.2494279176201373</v>
      </c>
    </row>
    <row r="139" spans="1:15" x14ac:dyDescent="0.45">
      <c r="A139" t="s">
        <v>221</v>
      </c>
      <c r="B139" s="4">
        <v>45400</v>
      </c>
      <c r="C139" t="s">
        <v>83</v>
      </c>
      <c r="D139" t="s">
        <v>53</v>
      </c>
      <c r="E139" t="s">
        <v>48</v>
      </c>
      <c r="F139" t="str">
        <f>_xlfn.XLOOKUP(C139,Salespeople!$A$2:$A$11,Salespeople!$C$2:$C$11)</f>
        <v>EMEA</v>
      </c>
      <c r="G139" t="str">
        <f>_xlfn.XLOOKUP(C139,Salespeople!$A$2:$A$11,Salespeople!$D$2:$D$11)</f>
        <v>United Arab Emirates</v>
      </c>
      <c r="H139" s="3">
        <v>11</v>
      </c>
      <c r="I139" s="5">
        <f>_xlfn.XLOOKUP($D139,Products!$A$2:$A$16,Products!$D$2:$D$16)</f>
        <v>130</v>
      </c>
      <c r="J139" s="5">
        <f>_xlfn.XLOOKUP(Sales!$D139,Products!$A$2:$A$16,Products!$E$2:$E$16)</f>
        <v>62</v>
      </c>
      <c r="K139" s="8" cm="1">
        <f t="array" ref="K139">_xlfn.IFS(H139&lt;=5,0%,H139&lt;=10,5%,H139&lt;=15,10%,H139&lt;=20,15%,H139&gt;20,20%)</f>
        <v>0.1</v>
      </c>
      <c r="L139" s="6">
        <f t="shared" si="6"/>
        <v>1287</v>
      </c>
      <c r="M139" s="6" cm="1">
        <f t="array" ref="M139">L139*_xlfn.IFS(L139&lt;=5000,0.02,L139&lt;=15000,0.04,L139&gt;15000,0.06)</f>
        <v>25.740000000000002</v>
      </c>
      <c r="N139" s="6">
        <f t="shared" si="7"/>
        <v>605</v>
      </c>
      <c r="O139" s="8">
        <f t="shared" si="8"/>
        <v>0.47008547008547008</v>
      </c>
    </row>
    <row r="140" spans="1:15" x14ac:dyDescent="0.45">
      <c r="A140" t="s">
        <v>222</v>
      </c>
      <c r="B140" s="4">
        <v>45597</v>
      </c>
      <c r="C140" t="s">
        <v>66</v>
      </c>
      <c r="D140" t="s">
        <v>62</v>
      </c>
      <c r="E140" t="s">
        <v>23</v>
      </c>
      <c r="F140" t="str">
        <f>_xlfn.XLOOKUP(C140,Salespeople!$A$2:$A$11,Salespeople!$C$2:$C$11)</f>
        <v>Americas</v>
      </c>
      <c r="G140" t="str">
        <f>_xlfn.XLOOKUP(C140,Salespeople!$A$2:$A$11,Salespeople!$D$2:$D$11)</f>
        <v>United States</v>
      </c>
      <c r="H140" s="3">
        <v>17</v>
      </c>
      <c r="I140" s="5">
        <f>_xlfn.XLOOKUP($D140,Products!$A$2:$A$16,Products!$D$2:$D$16)</f>
        <v>1750</v>
      </c>
      <c r="J140" s="5">
        <f>_xlfn.XLOOKUP(Sales!$D140,Products!$A$2:$A$16,Products!$E$2:$E$16)</f>
        <v>1300</v>
      </c>
      <c r="K140" s="8" cm="1">
        <f t="array" ref="K140">_xlfn.IFS(H140&lt;=5,0%,H140&lt;=10,5%,H140&lt;=15,10%,H140&lt;=20,15%,H140&gt;20,20%)</f>
        <v>0.15</v>
      </c>
      <c r="L140" s="6">
        <f t="shared" si="6"/>
        <v>25287.5</v>
      </c>
      <c r="M140" s="6" cm="1">
        <f t="array" ref="M140">L140*_xlfn.IFS(L140&lt;=5000,0.02,L140&lt;=15000,0.04,L140&gt;15000,0.06)</f>
        <v>1517.25</v>
      </c>
      <c r="N140" s="6">
        <f t="shared" si="7"/>
        <v>3187.5</v>
      </c>
      <c r="O140" s="8">
        <f t="shared" si="8"/>
        <v>0.12605042016806722</v>
      </c>
    </row>
    <row r="141" spans="1:15" x14ac:dyDescent="0.45">
      <c r="A141" t="s">
        <v>223</v>
      </c>
      <c r="B141" s="4">
        <v>45335</v>
      </c>
      <c r="C141" t="s">
        <v>51</v>
      </c>
      <c r="D141" t="s">
        <v>28</v>
      </c>
      <c r="E141" t="s">
        <v>48</v>
      </c>
      <c r="F141" t="str">
        <f>_xlfn.XLOOKUP(C141,Salespeople!$A$2:$A$11,Salespeople!$C$2:$C$11)</f>
        <v>Americas</v>
      </c>
      <c r="G141" t="str">
        <f>_xlfn.XLOOKUP(C141,Salespeople!$A$2:$A$11,Salespeople!$D$2:$D$11)</f>
        <v>Mexico</v>
      </c>
      <c r="H141" s="3">
        <v>16</v>
      </c>
      <c r="I141" s="5">
        <f>_xlfn.XLOOKUP($D141,Products!$A$2:$A$16,Products!$D$2:$D$16)</f>
        <v>95</v>
      </c>
      <c r="J141" s="5">
        <f>_xlfn.XLOOKUP(Sales!$D141,Products!$A$2:$A$16,Products!$E$2:$E$16)</f>
        <v>44</v>
      </c>
      <c r="K141" s="8" cm="1">
        <f t="array" ref="K141">_xlfn.IFS(H141&lt;=5,0%,H141&lt;=10,5%,H141&lt;=15,10%,H141&lt;=20,15%,H141&gt;20,20%)</f>
        <v>0.15</v>
      </c>
      <c r="L141" s="6">
        <f t="shared" si="6"/>
        <v>1292</v>
      </c>
      <c r="M141" s="6" cm="1">
        <f t="array" ref="M141">L141*_xlfn.IFS(L141&lt;=5000,0.02,L141&lt;=15000,0.04,L141&gt;15000,0.06)</f>
        <v>25.84</v>
      </c>
      <c r="N141" s="6">
        <f t="shared" si="7"/>
        <v>588</v>
      </c>
      <c r="O141" s="8">
        <f t="shared" si="8"/>
        <v>0.45510835913312692</v>
      </c>
    </row>
    <row r="142" spans="1:15" x14ac:dyDescent="0.45">
      <c r="A142" t="s">
        <v>224</v>
      </c>
      <c r="B142" s="4">
        <v>45645</v>
      </c>
      <c r="C142" t="s">
        <v>60</v>
      </c>
      <c r="D142" t="s">
        <v>74</v>
      </c>
      <c r="E142" t="s">
        <v>14</v>
      </c>
      <c r="F142" t="str">
        <f>_xlfn.XLOOKUP(C142,Salespeople!$A$2:$A$11,Salespeople!$C$2:$C$11)</f>
        <v>APAC</v>
      </c>
      <c r="G142" t="str">
        <f>_xlfn.XLOOKUP(C142,Salespeople!$A$2:$A$11,Salespeople!$D$2:$D$11)</f>
        <v>Japan</v>
      </c>
      <c r="H142" s="3">
        <v>16</v>
      </c>
      <c r="I142" s="5">
        <f>_xlfn.XLOOKUP($D142,Products!$A$2:$A$16,Products!$D$2:$D$16)</f>
        <v>210</v>
      </c>
      <c r="J142" s="5">
        <f>_xlfn.XLOOKUP(Sales!$D142,Products!$A$2:$A$16,Products!$E$2:$E$16)</f>
        <v>120</v>
      </c>
      <c r="K142" s="8" cm="1">
        <f t="array" ref="K142">_xlfn.IFS(H142&lt;=5,0%,H142&lt;=10,5%,H142&lt;=15,10%,H142&lt;=20,15%,H142&gt;20,20%)</f>
        <v>0.15</v>
      </c>
      <c r="L142" s="6">
        <f t="shared" si="6"/>
        <v>2856</v>
      </c>
      <c r="M142" s="6" cm="1">
        <f t="array" ref="M142">L142*_xlfn.IFS(L142&lt;=5000,0.02,L142&lt;=15000,0.04,L142&gt;15000,0.06)</f>
        <v>57.120000000000005</v>
      </c>
      <c r="N142" s="6">
        <f t="shared" si="7"/>
        <v>936</v>
      </c>
      <c r="O142" s="8">
        <f t="shared" si="8"/>
        <v>0.32773109243697479</v>
      </c>
    </row>
    <row r="143" spans="1:15" x14ac:dyDescent="0.45">
      <c r="A143" t="s">
        <v>225</v>
      </c>
      <c r="B143" s="4">
        <v>45300</v>
      </c>
      <c r="C143" t="s">
        <v>17</v>
      </c>
      <c r="D143" t="s">
        <v>79</v>
      </c>
      <c r="E143" t="s">
        <v>23</v>
      </c>
      <c r="F143" t="str">
        <f>_xlfn.XLOOKUP(C143,Salespeople!$A$2:$A$11,Salespeople!$C$2:$C$11)</f>
        <v>EMEA</v>
      </c>
      <c r="G143" t="str">
        <f>_xlfn.XLOOKUP(C143,Salespeople!$A$2:$A$11,Salespeople!$D$2:$D$11)</f>
        <v>Portugal</v>
      </c>
      <c r="H143" s="3">
        <v>13</v>
      </c>
      <c r="I143" s="5">
        <f>_xlfn.XLOOKUP($D143,Products!$A$2:$A$16,Products!$D$2:$D$16)</f>
        <v>240</v>
      </c>
      <c r="J143" s="5">
        <f>_xlfn.XLOOKUP(Sales!$D143,Products!$A$2:$A$16,Products!$E$2:$E$16)</f>
        <v>150</v>
      </c>
      <c r="K143" s="8" cm="1">
        <f t="array" ref="K143">_xlfn.IFS(H143&lt;=5,0%,H143&lt;=10,5%,H143&lt;=15,10%,H143&lt;=20,15%,H143&gt;20,20%)</f>
        <v>0.1</v>
      </c>
      <c r="L143" s="6">
        <f t="shared" si="6"/>
        <v>2808</v>
      </c>
      <c r="M143" s="6" cm="1">
        <f t="array" ref="M143">L143*_xlfn.IFS(L143&lt;=5000,0.02,L143&lt;=15000,0.04,L143&gt;15000,0.06)</f>
        <v>56.160000000000004</v>
      </c>
      <c r="N143" s="6">
        <f t="shared" si="7"/>
        <v>858</v>
      </c>
      <c r="O143" s="8">
        <f t="shared" si="8"/>
        <v>0.30555555555555558</v>
      </c>
    </row>
    <row r="144" spans="1:15" x14ac:dyDescent="0.45">
      <c r="A144" t="s">
        <v>226</v>
      </c>
      <c r="B144" s="4">
        <v>45448</v>
      </c>
      <c r="C144" t="s">
        <v>139</v>
      </c>
      <c r="D144" t="s">
        <v>56</v>
      </c>
      <c r="E144" t="s">
        <v>48</v>
      </c>
      <c r="F144" t="str">
        <f>_xlfn.XLOOKUP(C144,Salespeople!$A$2:$A$11,Salespeople!$C$2:$C$11)</f>
        <v>Americas</v>
      </c>
      <c r="G144" t="str">
        <f>_xlfn.XLOOKUP(C144,Salespeople!$A$2:$A$11,Salespeople!$D$2:$D$11)</f>
        <v>Canada</v>
      </c>
      <c r="H144" s="3">
        <v>18</v>
      </c>
      <c r="I144" s="5">
        <f>_xlfn.XLOOKUP($D144,Products!$A$2:$A$16,Products!$D$2:$D$16)</f>
        <v>520</v>
      </c>
      <c r="J144" s="5">
        <f>_xlfn.XLOOKUP(Sales!$D144,Products!$A$2:$A$16,Products!$E$2:$E$16)</f>
        <v>360</v>
      </c>
      <c r="K144" s="8" cm="1">
        <f t="array" ref="K144">_xlfn.IFS(H144&lt;=5,0%,H144&lt;=10,5%,H144&lt;=15,10%,H144&lt;=20,15%,H144&gt;20,20%)</f>
        <v>0.15</v>
      </c>
      <c r="L144" s="6">
        <f t="shared" si="6"/>
        <v>7956</v>
      </c>
      <c r="M144" s="6" cm="1">
        <f t="array" ref="M144">L144*_xlfn.IFS(L144&lt;=5000,0.02,L144&lt;=15000,0.04,L144&gt;15000,0.06)</f>
        <v>318.24</v>
      </c>
      <c r="N144" s="6">
        <f t="shared" si="7"/>
        <v>1476</v>
      </c>
      <c r="O144" s="8">
        <f t="shared" si="8"/>
        <v>0.18552036199095023</v>
      </c>
    </row>
    <row r="145" spans="1:15" x14ac:dyDescent="0.45">
      <c r="A145" t="s">
        <v>227</v>
      </c>
      <c r="B145" s="4">
        <v>45509</v>
      </c>
      <c r="C145" t="s">
        <v>38</v>
      </c>
      <c r="D145" t="s">
        <v>56</v>
      </c>
      <c r="E145" t="s">
        <v>48</v>
      </c>
      <c r="F145" t="str">
        <f>_xlfn.XLOOKUP(C145,Salespeople!$A$2:$A$11,Salespeople!$C$2:$C$11)</f>
        <v>Americas</v>
      </c>
      <c r="G145" t="str">
        <f>_xlfn.XLOOKUP(C145,Salespeople!$A$2:$A$11,Salespeople!$D$2:$D$11)</f>
        <v>Brazil</v>
      </c>
      <c r="H145" s="3">
        <v>23</v>
      </c>
      <c r="I145" s="5">
        <f>_xlfn.XLOOKUP($D145,Products!$A$2:$A$16,Products!$D$2:$D$16)</f>
        <v>520</v>
      </c>
      <c r="J145" s="5">
        <f>_xlfn.XLOOKUP(Sales!$D145,Products!$A$2:$A$16,Products!$E$2:$E$16)</f>
        <v>360</v>
      </c>
      <c r="K145" s="8" cm="1">
        <f t="array" ref="K145">_xlfn.IFS(H145&lt;=5,0%,H145&lt;=10,5%,H145&lt;=15,10%,H145&lt;=20,15%,H145&gt;20,20%)</f>
        <v>0.2</v>
      </c>
      <c r="L145" s="6">
        <f t="shared" si="6"/>
        <v>9568</v>
      </c>
      <c r="M145" s="6" cm="1">
        <f t="array" ref="M145">L145*_xlfn.IFS(L145&lt;=5000,0.02,L145&lt;=15000,0.04,L145&gt;15000,0.06)</f>
        <v>382.72</v>
      </c>
      <c r="N145" s="6">
        <f t="shared" si="7"/>
        <v>1288</v>
      </c>
      <c r="O145" s="8">
        <f t="shared" si="8"/>
        <v>0.13461538461538461</v>
      </c>
    </row>
    <row r="146" spans="1:15" x14ac:dyDescent="0.45">
      <c r="A146" t="s">
        <v>228</v>
      </c>
      <c r="B146" s="4">
        <v>45430</v>
      </c>
      <c r="C146" t="s">
        <v>66</v>
      </c>
      <c r="D146" t="s">
        <v>79</v>
      </c>
      <c r="E146" t="s">
        <v>23</v>
      </c>
      <c r="F146" t="str">
        <f>_xlfn.XLOOKUP(C146,Salespeople!$A$2:$A$11,Salespeople!$C$2:$C$11)</f>
        <v>Americas</v>
      </c>
      <c r="G146" t="str">
        <f>_xlfn.XLOOKUP(C146,Salespeople!$A$2:$A$11,Salespeople!$D$2:$D$11)</f>
        <v>United States</v>
      </c>
      <c r="H146" s="3">
        <v>4</v>
      </c>
      <c r="I146" s="5">
        <f>_xlfn.XLOOKUP($D146,Products!$A$2:$A$16,Products!$D$2:$D$16)</f>
        <v>240</v>
      </c>
      <c r="J146" s="5">
        <f>_xlfn.XLOOKUP(Sales!$D146,Products!$A$2:$A$16,Products!$E$2:$E$16)</f>
        <v>150</v>
      </c>
      <c r="K146" s="8" cm="1">
        <f t="array" ref="K146">_xlfn.IFS(H146&lt;=5,0%,H146&lt;=10,5%,H146&lt;=15,10%,H146&lt;=20,15%,H146&gt;20,20%)</f>
        <v>0</v>
      </c>
      <c r="L146" s="6">
        <f t="shared" si="6"/>
        <v>960</v>
      </c>
      <c r="M146" s="6" cm="1">
        <f t="array" ref="M146">L146*_xlfn.IFS(L146&lt;=5000,0.02,L146&lt;=15000,0.04,L146&gt;15000,0.06)</f>
        <v>19.2</v>
      </c>
      <c r="N146" s="6">
        <f t="shared" si="7"/>
        <v>360</v>
      </c>
      <c r="O146" s="8">
        <f t="shared" si="8"/>
        <v>0.375</v>
      </c>
    </row>
    <row r="147" spans="1:15" x14ac:dyDescent="0.45">
      <c r="A147" t="s">
        <v>229</v>
      </c>
      <c r="B147" s="4">
        <v>45453</v>
      </c>
      <c r="C147" t="s">
        <v>17</v>
      </c>
      <c r="D147" t="s">
        <v>28</v>
      </c>
      <c r="E147" t="s">
        <v>14</v>
      </c>
      <c r="F147" t="str">
        <f>_xlfn.XLOOKUP(C147,Salespeople!$A$2:$A$11,Salespeople!$C$2:$C$11)</f>
        <v>EMEA</v>
      </c>
      <c r="G147" t="str">
        <f>_xlfn.XLOOKUP(C147,Salespeople!$A$2:$A$11,Salespeople!$D$2:$D$11)</f>
        <v>Portugal</v>
      </c>
      <c r="H147" s="3">
        <v>25</v>
      </c>
      <c r="I147" s="5">
        <f>_xlfn.XLOOKUP($D147,Products!$A$2:$A$16,Products!$D$2:$D$16)</f>
        <v>95</v>
      </c>
      <c r="J147" s="5">
        <f>_xlfn.XLOOKUP(Sales!$D147,Products!$A$2:$A$16,Products!$E$2:$E$16)</f>
        <v>44</v>
      </c>
      <c r="K147" s="8" cm="1">
        <f t="array" ref="K147">_xlfn.IFS(H147&lt;=5,0%,H147&lt;=10,5%,H147&lt;=15,10%,H147&lt;=20,15%,H147&gt;20,20%)</f>
        <v>0.2</v>
      </c>
      <c r="L147" s="6">
        <f t="shared" si="6"/>
        <v>1900</v>
      </c>
      <c r="M147" s="6" cm="1">
        <f t="array" ref="M147">L147*_xlfn.IFS(L147&lt;=5000,0.02,L147&lt;=15000,0.04,L147&gt;15000,0.06)</f>
        <v>38</v>
      </c>
      <c r="N147" s="6">
        <f t="shared" si="7"/>
        <v>800</v>
      </c>
      <c r="O147" s="8">
        <f t="shared" si="8"/>
        <v>0.42105263157894735</v>
      </c>
    </row>
    <row r="148" spans="1:15" x14ac:dyDescent="0.45">
      <c r="A148" t="s">
        <v>230</v>
      </c>
      <c r="B148" s="4">
        <v>45390</v>
      </c>
      <c r="C148" t="s">
        <v>51</v>
      </c>
      <c r="D148" t="s">
        <v>28</v>
      </c>
      <c r="E148" t="s">
        <v>48</v>
      </c>
      <c r="F148" t="str">
        <f>_xlfn.XLOOKUP(C148,Salespeople!$A$2:$A$11,Salespeople!$C$2:$C$11)</f>
        <v>Americas</v>
      </c>
      <c r="G148" t="str">
        <f>_xlfn.XLOOKUP(C148,Salespeople!$A$2:$A$11,Salespeople!$D$2:$D$11)</f>
        <v>Mexico</v>
      </c>
      <c r="H148" s="3">
        <v>9</v>
      </c>
      <c r="I148" s="5">
        <f>_xlfn.XLOOKUP($D148,Products!$A$2:$A$16,Products!$D$2:$D$16)</f>
        <v>95</v>
      </c>
      <c r="J148" s="5">
        <f>_xlfn.XLOOKUP(Sales!$D148,Products!$A$2:$A$16,Products!$E$2:$E$16)</f>
        <v>44</v>
      </c>
      <c r="K148" s="8" cm="1">
        <f t="array" ref="K148">_xlfn.IFS(H148&lt;=5,0%,H148&lt;=10,5%,H148&lt;=15,10%,H148&lt;=20,15%,H148&gt;20,20%)</f>
        <v>0.05</v>
      </c>
      <c r="L148" s="6">
        <f t="shared" si="6"/>
        <v>812.25</v>
      </c>
      <c r="M148" s="6" cm="1">
        <f t="array" ref="M148">L148*_xlfn.IFS(L148&lt;=5000,0.02,L148&lt;=15000,0.04,L148&gt;15000,0.06)</f>
        <v>16.245000000000001</v>
      </c>
      <c r="N148" s="6">
        <f t="shared" si="7"/>
        <v>416.25</v>
      </c>
      <c r="O148" s="8">
        <f t="shared" si="8"/>
        <v>0.51246537396121883</v>
      </c>
    </row>
    <row r="149" spans="1:15" x14ac:dyDescent="0.45">
      <c r="A149" t="s">
        <v>231</v>
      </c>
      <c r="B149" s="4">
        <v>45343</v>
      </c>
      <c r="C149" t="s">
        <v>51</v>
      </c>
      <c r="D149" t="s">
        <v>79</v>
      </c>
      <c r="E149" t="s">
        <v>23</v>
      </c>
      <c r="F149" t="str">
        <f>_xlfn.XLOOKUP(C149,Salespeople!$A$2:$A$11,Salespeople!$C$2:$C$11)</f>
        <v>Americas</v>
      </c>
      <c r="G149" t="str">
        <f>_xlfn.XLOOKUP(C149,Salespeople!$A$2:$A$11,Salespeople!$D$2:$D$11)</f>
        <v>Mexico</v>
      </c>
      <c r="H149" s="3">
        <v>12</v>
      </c>
      <c r="I149" s="5">
        <f>_xlfn.XLOOKUP($D149,Products!$A$2:$A$16,Products!$D$2:$D$16)</f>
        <v>240</v>
      </c>
      <c r="J149" s="5">
        <f>_xlfn.XLOOKUP(Sales!$D149,Products!$A$2:$A$16,Products!$E$2:$E$16)</f>
        <v>150</v>
      </c>
      <c r="K149" s="8" cm="1">
        <f t="array" ref="K149">_xlfn.IFS(H149&lt;=5,0%,H149&lt;=10,5%,H149&lt;=15,10%,H149&lt;=20,15%,H149&gt;20,20%)</f>
        <v>0.1</v>
      </c>
      <c r="L149" s="6">
        <f t="shared" si="6"/>
        <v>2592</v>
      </c>
      <c r="M149" s="6" cm="1">
        <f t="array" ref="M149">L149*_xlfn.IFS(L149&lt;=5000,0.02,L149&lt;=15000,0.04,L149&gt;15000,0.06)</f>
        <v>51.84</v>
      </c>
      <c r="N149" s="6">
        <f t="shared" si="7"/>
        <v>792</v>
      </c>
      <c r="O149" s="8">
        <f t="shared" si="8"/>
        <v>0.30555555555555558</v>
      </c>
    </row>
    <row r="150" spans="1:15" x14ac:dyDescent="0.45">
      <c r="A150" t="s">
        <v>232</v>
      </c>
      <c r="B150" s="4">
        <v>45446</v>
      </c>
      <c r="C150" t="s">
        <v>131</v>
      </c>
      <c r="D150" t="s">
        <v>28</v>
      </c>
      <c r="E150" t="s">
        <v>14</v>
      </c>
      <c r="F150" t="str">
        <f>_xlfn.XLOOKUP(C150,Salespeople!$A$2:$A$11,Salespeople!$C$2:$C$11)</f>
        <v>EMEA</v>
      </c>
      <c r="G150" t="str">
        <f>_xlfn.XLOOKUP(C150,Salespeople!$A$2:$A$11,Salespeople!$D$2:$D$11)</f>
        <v>United Kingdom</v>
      </c>
      <c r="H150" s="3">
        <v>5</v>
      </c>
      <c r="I150" s="5">
        <f>_xlfn.XLOOKUP($D150,Products!$A$2:$A$16,Products!$D$2:$D$16)</f>
        <v>95</v>
      </c>
      <c r="J150" s="5">
        <f>_xlfn.XLOOKUP(Sales!$D150,Products!$A$2:$A$16,Products!$E$2:$E$16)</f>
        <v>44</v>
      </c>
      <c r="K150" s="8" cm="1">
        <f t="array" ref="K150">_xlfn.IFS(H150&lt;=5,0%,H150&lt;=10,5%,H150&lt;=15,10%,H150&lt;=20,15%,H150&gt;20,20%)</f>
        <v>0</v>
      </c>
      <c r="L150" s="6">
        <f t="shared" si="6"/>
        <v>475</v>
      </c>
      <c r="M150" s="6" cm="1">
        <f t="array" ref="M150">L150*_xlfn.IFS(L150&lt;=5000,0.02,L150&lt;=15000,0.04,L150&gt;15000,0.06)</f>
        <v>9.5</v>
      </c>
      <c r="N150" s="6">
        <f t="shared" si="7"/>
        <v>255</v>
      </c>
      <c r="O150" s="8">
        <f t="shared" si="8"/>
        <v>0.5368421052631579</v>
      </c>
    </row>
    <row r="151" spans="1:15" x14ac:dyDescent="0.45">
      <c r="A151" t="s">
        <v>233</v>
      </c>
      <c r="B151" s="4">
        <v>45315</v>
      </c>
      <c r="C151" t="s">
        <v>131</v>
      </c>
      <c r="D151" t="s">
        <v>62</v>
      </c>
      <c r="E151" t="s">
        <v>48</v>
      </c>
      <c r="F151" t="str">
        <f>_xlfn.XLOOKUP(C151,Salespeople!$A$2:$A$11,Salespeople!$C$2:$C$11)</f>
        <v>EMEA</v>
      </c>
      <c r="G151" t="str">
        <f>_xlfn.XLOOKUP(C151,Salespeople!$A$2:$A$11,Salespeople!$D$2:$D$11)</f>
        <v>United Kingdom</v>
      </c>
      <c r="H151" s="3">
        <v>23</v>
      </c>
      <c r="I151" s="5">
        <f>_xlfn.XLOOKUP($D151,Products!$A$2:$A$16,Products!$D$2:$D$16)</f>
        <v>1750</v>
      </c>
      <c r="J151" s="5">
        <f>_xlfn.XLOOKUP(Sales!$D151,Products!$A$2:$A$16,Products!$E$2:$E$16)</f>
        <v>1300</v>
      </c>
      <c r="K151" s="8" cm="1">
        <f t="array" ref="K151">_xlfn.IFS(H151&lt;=5,0%,H151&lt;=10,5%,H151&lt;=15,10%,H151&lt;=20,15%,H151&gt;20,20%)</f>
        <v>0.2</v>
      </c>
      <c r="L151" s="6">
        <f t="shared" si="6"/>
        <v>32200</v>
      </c>
      <c r="M151" s="6" cm="1">
        <f t="array" ref="M151">L151*_xlfn.IFS(L151&lt;=5000,0.02,L151&lt;=15000,0.04,L151&gt;15000,0.06)</f>
        <v>1932</v>
      </c>
      <c r="N151" s="6">
        <f t="shared" si="7"/>
        <v>2300</v>
      </c>
      <c r="O151" s="8">
        <f t="shared" si="8"/>
        <v>7.1428571428571425E-2</v>
      </c>
    </row>
    <row r="152" spans="1:15" x14ac:dyDescent="0.45">
      <c r="A152" t="s">
        <v>234</v>
      </c>
      <c r="B152" s="4">
        <v>45618</v>
      </c>
      <c r="C152" t="s">
        <v>60</v>
      </c>
      <c r="D152" t="s">
        <v>134</v>
      </c>
      <c r="E152" t="s">
        <v>23</v>
      </c>
      <c r="F152" t="str">
        <f>_xlfn.XLOOKUP(C152,Salespeople!$A$2:$A$11,Salespeople!$C$2:$C$11)</f>
        <v>APAC</v>
      </c>
      <c r="G152" t="str">
        <f>_xlfn.XLOOKUP(C152,Salespeople!$A$2:$A$11,Salespeople!$D$2:$D$11)</f>
        <v>Japan</v>
      </c>
      <c r="H152" s="3">
        <v>19</v>
      </c>
      <c r="I152" s="5">
        <f>_xlfn.XLOOKUP($D152,Products!$A$2:$A$16,Products!$D$2:$D$16)</f>
        <v>79</v>
      </c>
      <c r="J152" s="5">
        <f>_xlfn.XLOOKUP(Sales!$D152,Products!$A$2:$A$16,Products!$E$2:$E$16)</f>
        <v>38</v>
      </c>
      <c r="K152" s="8" cm="1">
        <f t="array" ref="K152">_xlfn.IFS(H152&lt;=5,0%,H152&lt;=10,5%,H152&lt;=15,10%,H152&lt;=20,15%,H152&gt;20,20%)</f>
        <v>0.15</v>
      </c>
      <c r="L152" s="6">
        <f t="shared" si="6"/>
        <v>1275.8499999999999</v>
      </c>
      <c r="M152" s="6" cm="1">
        <f t="array" ref="M152">L152*_xlfn.IFS(L152&lt;=5000,0.02,L152&lt;=15000,0.04,L152&gt;15000,0.06)</f>
        <v>25.516999999999999</v>
      </c>
      <c r="N152" s="6">
        <f t="shared" si="7"/>
        <v>553.84999999999991</v>
      </c>
      <c r="O152" s="8">
        <f t="shared" si="8"/>
        <v>0.43410275502606099</v>
      </c>
    </row>
    <row r="153" spans="1:15" x14ac:dyDescent="0.45">
      <c r="A153" t="s">
        <v>235</v>
      </c>
      <c r="B153" s="4">
        <v>45532</v>
      </c>
      <c r="C153" t="s">
        <v>60</v>
      </c>
      <c r="D153" t="s">
        <v>103</v>
      </c>
      <c r="E153" t="s">
        <v>48</v>
      </c>
      <c r="F153" t="str">
        <f>_xlfn.XLOOKUP(C153,Salespeople!$A$2:$A$11,Salespeople!$C$2:$C$11)</f>
        <v>APAC</v>
      </c>
      <c r="G153" t="str">
        <f>_xlfn.XLOOKUP(C153,Salespeople!$A$2:$A$11,Salespeople!$D$2:$D$11)</f>
        <v>Japan</v>
      </c>
      <c r="H153" s="3">
        <v>6</v>
      </c>
      <c r="I153" s="5">
        <f>_xlfn.XLOOKUP($D153,Products!$A$2:$A$16,Products!$D$2:$D$16)</f>
        <v>1150</v>
      </c>
      <c r="J153" s="5">
        <f>_xlfn.XLOOKUP(Sales!$D153,Products!$A$2:$A$16,Products!$E$2:$E$16)</f>
        <v>820</v>
      </c>
      <c r="K153" s="8" cm="1">
        <f t="array" ref="K153">_xlfn.IFS(H153&lt;=5,0%,H153&lt;=10,5%,H153&lt;=15,10%,H153&lt;=20,15%,H153&gt;20,20%)</f>
        <v>0.05</v>
      </c>
      <c r="L153" s="6">
        <f t="shared" si="6"/>
        <v>6555</v>
      </c>
      <c r="M153" s="6" cm="1">
        <f t="array" ref="M153">L153*_xlfn.IFS(L153&lt;=5000,0.02,L153&lt;=15000,0.04,L153&gt;15000,0.06)</f>
        <v>262.2</v>
      </c>
      <c r="N153" s="6">
        <f t="shared" si="7"/>
        <v>1635</v>
      </c>
      <c r="O153" s="8">
        <f t="shared" si="8"/>
        <v>0.2494279176201373</v>
      </c>
    </row>
    <row r="154" spans="1:15" x14ac:dyDescent="0.45">
      <c r="A154" t="s">
        <v>236</v>
      </c>
      <c r="B154" s="4">
        <v>45421</v>
      </c>
      <c r="C154" t="s">
        <v>60</v>
      </c>
      <c r="D154" t="s">
        <v>134</v>
      </c>
      <c r="E154" t="s">
        <v>23</v>
      </c>
      <c r="F154" t="str">
        <f>_xlfn.XLOOKUP(C154,Salespeople!$A$2:$A$11,Salespeople!$C$2:$C$11)</f>
        <v>APAC</v>
      </c>
      <c r="G154" t="str">
        <f>_xlfn.XLOOKUP(C154,Salespeople!$A$2:$A$11,Salespeople!$D$2:$D$11)</f>
        <v>Japan</v>
      </c>
      <c r="H154" s="3">
        <v>13</v>
      </c>
      <c r="I154" s="5">
        <f>_xlfn.XLOOKUP($D154,Products!$A$2:$A$16,Products!$D$2:$D$16)</f>
        <v>79</v>
      </c>
      <c r="J154" s="5">
        <f>_xlfn.XLOOKUP(Sales!$D154,Products!$A$2:$A$16,Products!$E$2:$E$16)</f>
        <v>38</v>
      </c>
      <c r="K154" s="8" cm="1">
        <f t="array" ref="K154">_xlfn.IFS(H154&lt;=5,0%,H154&lt;=10,5%,H154&lt;=15,10%,H154&lt;=20,15%,H154&gt;20,20%)</f>
        <v>0.1</v>
      </c>
      <c r="L154" s="6">
        <f t="shared" si="6"/>
        <v>924.30000000000007</v>
      </c>
      <c r="M154" s="6" cm="1">
        <f t="array" ref="M154">L154*_xlfn.IFS(L154&lt;=5000,0.02,L154&lt;=15000,0.04,L154&gt;15000,0.06)</f>
        <v>18.486000000000001</v>
      </c>
      <c r="N154" s="6">
        <f t="shared" si="7"/>
        <v>430.30000000000007</v>
      </c>
      <c r="O154" s="8">
        <f t="shared" si="8"/>
        <v>0.4655414908579466</v>
      </c>
    </row>
    <row r="155" spans="1:15" x14ac:dyDescent="0.45">
      <c r="A155" t="s">
        <v>237</v>
      </c>
      <c r="B155" s="4">
        <v>45329</v>
      </c>
      <c r="C155" t="s">
        <v>139</v>
      </c>
      <c r="D155" t="s">
        <v>74</v>
      </c>
      <c r="E155" t="s">
        <v>14</v>
      </c>
      <c r="F155" t="str">
        <f>_xlfn.XLOOKUP(C155,Salespeople!$A$2:$A$11,Salespeople!$C$2:$C$11)</f>
        <v>Americas</v>
      </c>
      <c r="G155" t="str">
        <f>_xlfn.XLOOKUP(C155,Salespeople!$A$2:$A$11,Salespeople!$D$2:$D$11)</f>
        <v>Canada</v>
      </c>
      <c r="H155" s="3">
        <v>2</v>
      </c>
      <c r="I155" s="5">
        <f>_xlfn.XLOOKUP($D155,Products!$A$2:$A$16,Products!$D$2:$D$16)</f>
        <v>210</v>
      </c>
      <c r="J155" s="5">
        <f>_xlfn.XLOOKUP(Sales!$D155,Products!$A$2:$A$16,Products!$E$2:$E$16)</f>
        <v>120</v>
      </c>
      <c r="K155" s="8" cm="1">
        <f t="array" ref="K155">_xlfn.IFS(H155&lt;=5,0%,H155&lt;=10,5%,H155&lt;=15,10%,H155&lt;=20,15%,H155&gt;20,20%)</f>
        <v>0</v>
      </c>
      <c r="L155" s="6">
        <f t="shared" si="6"/>
        <v>420</v>
      </c>
      <c r="M155" s="6" cm="1">
        <f t="array" ref="M155">L155*_xlfn.IFS(L155&lt;=5000,0.02,L155&lt;=15000,0.04,L155&gt;15000,0.06)</f>
        <v>8.4</v>
      </c>
      <c r="N155" s="6">
        <f t="shared" si="7"/>
        <v>180</v>
      </c>
      <c r="O155" s="8">
        <f t="shared" si="8"/>
        <v>0.42857142857142855</v>
      </c>
    </row>
    <row r="156" spans="1:15" x14ac:dyDescent="0.45">
      <c r="A156" t="s">
        <v>238</v>
      </c>
      <c r="B156" s="4">
        <v>45368</v>
      </c>
      <c r="C156" t="s">
        <v>139</v>
      </c>
      <c r="D156" t="s">
        <v>79</v>
      </c>
      <c r="E156" t="s">
        <v>23</v>
      </c>
      <c r="F156" t="str">
        <f>_xlfn.XLOOKUP(C156,Salespeople!$A$2:$A$11,Salespeople!$C$2:$C$11)</f>
        <v>Americas</v>
      </c>
      <c r="G156" t="str">
        <f>_xlfn.XLOOKUP(C156,Salespeople!$A$2:$A$11,Salespeople!$D$2:$D$11)</f>
        <v>Canada</v>
      </c>
      <c r="H156" s="3">
        <v>8</v>
      </c>
      <c r="I156" s="5">
        <f>_xlfn.XLOOKUP($D156,Products!$A$2:$A$16,Products!$D$2:$D$16)</f>
        <v>240</v>
      </c>
      <c r="J156" s="5">
        <f>_xlfn.XLOOKUP(Sales!$D156,Products!$A$2:$A$16,Products!$E$2:$E$16)</f>
        <v>150</v>
      </c>
      <c r="K156" s="8" cm="1">
        <f t="array" ref="K156">_xlfn.IFS(H156&lt;=5,0%,H156&lt;=10,5%,H156&lt;=15,10%,H156&lt;=20,15%,H156&gt;20,20%)</f>
        <v>0.05</v>
      </c>
      <c r="L156" s="6">
        <f t="shared" si="6"/>
        <v>1824</v>
      </c>
      <c r="M156" s="6" cm="1">
        <f t="array" ref="M156">L156*_xlfn.IFS(L156&lt;=5000,0.02,L156&lt;=15000,0.04,L156&gt;15000,0.06)</f>
        <v>36.480000000000004</v>
      </c>
      <c r="N156" s="6">
        <f t="shared" si="7"/>
        <v>624</v>
      </c>
      <c r="O156" s="8">
        <f t="shared" si="8"/>
        <v>0.34210526315789475</v>
      </c>
    </row>
    <row r="157" spans="1:15" x14ac:dyDescent="0.45">
      <c r="A157" t="s">
        <v>239</v>
      </c>
      <c r="B157" s="4">
        <v>45577</v>
      </c>
      <c r="C157" t="s">
        <v>33</v>
      </c>
      <c r="D157" t="s">
        <v>40</v>
      </c>
      <c r="E157" t="s">
        <v>14</v>
      </c>
      <c r="F157" t="str">
        <f>_xlfn.XLOOKUP(C157,Salespeople!$A$2:$A$11,Salespeople!$C$2:$C$11)</f>
        <v>EMEA</v>
      </c>
      <c r="G157" t="str">
        <f>_xlfn.XLOOKUP(C157,Salespeople!$A$2:$A$11,Salespeople!$D$2:$D$11)</f>
        <v>Kenya</v>
      </c>
      <c r="H157" s="3">
        <v>20</v>
      </c>
      <c r="I157" s="5">
        <f>_xlfn.XLOOKUP($D157,Products!$A$2:$A$16,Products!$D$2:$D$16)</f>
        <v>1050</v>
      </c>
      <c r="J157" s="5">
        <f>_xlfn.XLOOKUP(Sales!$D157,Products!$A$2:$A$16,Products!$E$2:$E$16)</f>
        <v>760</v>
      </c>
      <c r="K157" s="8" cm="1">
        <f t="array" ref="K157">_xlfn.IFS(H157&lt;=5,0%,H157&lt;=10,5%,H157&lt;=15,10%,H157&lt;=20,15%,H157&gt;20,20%)</f>
        <v>0.15</v>
      </c>
      <c r="L157" s="6">
        <f t="shared" si="6"/>
        <v>17850</v>
      </c>
      <c r="M157" s="6" cm="1">
        <f t="array" ref="M157">L157*_xlfn.IFS(L157&lt;=5000,0.02,L157&lt;=15000,0.04,L157&gt;15000,0.06)</f>
        <v>1071</v>
      </c>
      <c r="N157" s="6">
        <f t="shared" si="7"/>
        <v>2650</v>
      </c>
      <c r="O157" s="8">
        <f t="shared" si="8"/>
        <v>0.1484593837535014</v>
      </c>
    </row>
    <row r="158" spans="1:15" x14ac:dyDescent="0.45">
      <c r="A158" t="s">
        <v>240</v>
      </c>
      <c r="B158" s="4">
        <v>45559</v>
      </c>
      <c r="C158" t="s">
        <v>33</v>
      </c>
      <c r="D158" t="s">
        <v>103</v>
      </c>
      <c r="E158" t="s">
        <v>48</v>
      </c>
      <c r="F158" t="str">
        <f>_xlfn.XLOOKUP(C158,Salespeople!$A$2:$A$11,Salespeople!$C$2:$C$11)</f>
        <v>EMEA</v>
      </c>
      <c r="G158" t="str">
        <f>_xlfn.XLOOKUP(C158,Salespeople!$A$2:$A$11,Salespeople!$D$2:$D$11)</f>
        <v>Kenya</v>
      </c>
      <c r="H158" s="3">
        <v>10</v>
      </c>
      <c r="I158" s="5">
        <f>_xlfn.XLOOKUP($D158,Products!$A$2:$A$16,Products!$D$2:$D$16)</f>
        <v>1150</v>
      </c>
      <c r="J158" s="5">
        <f>_xlfn.XLOOKUP(Sales!$D158,Products!$A$2:$A$16,Products!$E$2:$E$16)</f>
        <v>820</v>
      </c>
      <c r="K158" s="8" cm="1">
        <f t="array" ref="K158">_xlfn.IFS(H158&lt;=5,0%,H158&lt;=10,5%,H158&lt;=15,10%,H158&lt;=20,15%,H158&gt;20,20%)</f>
        <v>0.05</v>
      </c>
      <c r="L158" s="6">
        <f t="shared" si="6"/>
        <v>10925</v>
      </c>
      <c r="M158" s="6" cm="1">
        <f t="array" ref="M158">L158*_xlfn.IFS(L158&lt;=5000,0.02,L158&lt;=15000,0.04,L158&gt;15000,0.06)</f>
        <v>437</v>
      </c>
      <c r="N158" s="6">
        <f t="shared" si="7"/>
        <v>2725</v>
      </c>
      <c r="O158" s="8">
        <f t="shared" si="8"/>
        <v>0.2494279176201373</v>
      </c>
    </row>
    <row r="159" spans="1:15" x14ac:dyDescent="0.45">
      <c r="A159" t="s">
        <v>241</v>
      </c>
      <c r="B159" s="4">
        <v>45448</v>
      </c>
      <c r="C159" t="s">
        <v>139</v>
      </c>
      <c r="D159" t="s">
        <v>40</v>
      </c>
      <c r="E159" t="s">
        <v>23</v>
      </c>
      <c r="F159" t="str">
        <f>_xlfn.XLOOKUP(C159,Salespeople!$A$2:$A$11,Salespeople!$C$2:$C$11)</f>
        <v>Americas</v>
      </c>
      <c r="G159" t="str">
        <f>_xlfn.XLOOKUP(C159,Salespeople!$A$2:$A$11,Salespeople!$D$2:$D$11)</f>
        <v>Canada</v>
      </c>
      <c r="H159" s="3">
        <v>20</v>
      </c>
      <c r="I159" s="5">
        <f>_xlfn.XLOOKUP($D159,Products!$A$2:$A$16,Products!$D$2:$D$16)</f>
        <v>1050</v>
      </c>
      <c r="J159" s="5">
        <f>_xlfn.XLOOKUP(Sales!$D159,Products!$A$2:$A$16,Products!$E$2:$E$16)</f>
        <v>760</v>
      </c>
      <c r="K159" s="8" cm="1">
        <f t="array" ref="K159">_xlfn.IFS(H159&lt;=5,0%,H159&lt;=10,5%,H159&lt;=15,10%,H159&lt;=20,15%,H159&gt;20,20%)</f>
        <v>0.15</v>
      </c>
      <c r="L159" s="6">
        <f t="shared" si="6"/>
        <v>17850</v>
      </c>
      <c r="M159" s="6" cm="1">
        <f t="array" ref="M159">L159*_xlfn.IFS(L159&lt;=5000,0.02,L159&lt;=15000,0.04,L159&gt;15000,0.06)</f>
        <v>1071</v>
      </c>
      <c r="N159" s="6">
        <f t="shared" si="7"/>
        <v>2650</v>
      </c>
      <c r="O159" s="8">
        <f t="shared" si="8"/>
        <v>0.1484593837535014</v>
      </c>
    </row>
    <row r="160" spans="1:15" x14ac:dyDescent="0.45">
      <c r="A160" t="s">
        <v>242</v>
      </c>
      <c r="B160" s="4">
        <v>45398</v>
      </c>
      <c r="C160" t="s">
        <v>51</v>
      </c>
      <c r="D160" t="s">
        <v>79</v>
      </c>
      <c r="E160" t="s">
        <v>14</v>
      </c>
      <c r="F160" t="str">
        <f>_xlfn.XLOOKUP(C160,Salespeople!$A$2:$A$11,Salespeople!$C$2:$C$11)</f>
        <v>Americas</v>
      </c>
      <c r="G160" t="str">
        <f>_xlfn.XLOOKUP(C160,Salespeople!$A$2:$A$11,Salespeople!$D$2:$D$11)</f>
        <v>Mexico</v>
      </c>
      <c r="H160" s="3">
        <v>3</v>
      </c>
      <c r="I160" s="5">
        <f>_xlfn.XLOOKUP($D160,Products!$A$2:$A$16,Products!$D$2:$D$16)</f>
        <v>240</v>
      </c>
      <c r="J160" s="5">
        <f>_xlfn.XLOOKUP(Sales!$D160,Products!$A$2:$A$16,Products!$E$2:$E$16)</f>
        <v>150</v>
      </c>
      <c r="K160" s="8" cm="1">
        <f t="array" ref="K160">_xlfn.IFS(H160&lt;=5,0%,H160&lt;=10,5%,H160&lt;=15,10%,H160&lt;=20,15%,H160&gt;20,20%)</f>
        <v>0</v>
      </c>
      <c r="L160" s="6">
        <f t="shared" si="6"/>
        <v>720</v>
      </c>
      <c r="M160" s="6" cm="1">
        <f t="array" ref="M160">L160*_xlfn.IFS(L160&lt;=5000,0.02,L160&lt;=15000,0.04,L160&gt;15000,0.06)</f>
        <v>14.4</v>
      </c>
      <c r="N160" s="6">
        <f t="shared" si="7"/>
        <v>270</v>
      </c>
      <c r="O160" s="8">
        <f t="shared" si="8"/>
        <v>0.375</v>
      </c>
    </row>
    <row r="161" spans="1:15" x14ac:dyDescent="0.45">
      <c r="A161" t="s">
        <v>243</v>
      </c>
      <c r="B161" s="4">
        <v>45414</v>
      </c>
      <c r="C161" t="s">
        <v>26</v>
      </c>
      <c r="D161" t="s">
        <v>62</v>
      </c>
      <c r="E161" t="s">
        <v>23</v>
      </c>
      <c r="F161" t="str">
        <f>_xlfn.XLOOKUP(C161,Salespeople!$A$2:$A$11,Salespeople!$C$2:$C$11)</f>
        <v>APAC</v>
      </c>
      <c r="G161" t="str">
        <f>_xlfn.XLOOKUP(C161,Salespeople!$A$2:$A$11,Salespeople!$D$2:$D$11)</f>
        <v>Singapore</v>
      </c>
      <c r="H161" s="3">
        <v>6</v>
      </c>
      <c r="I161" s="5">
        <f>_xlfn.XLOOKUP($D161,Products!$A$2:$A$16,Products!$D$2:$D$16)</f>
        <v>1750</v>
      </c>
      <c r="J161" s="5">
        <f>_xlfn.XLOOKUP(Sales!$D161,Products!$A$2:$A$16,Products!$E$2:$E$16)</f>
        <v>1300</v>
      </c>
      <c r="K161" s="8" cm="1">
        <f t="array" ref="K161">_xlfn.IFS(H161&lt;=5,0%,H161&lt;=10,5%,H161&lt;=15,10%,H161&lt;=20,15%,H161&gt;20,20%)</f>
        <v>0.05</v>
      </c>
      <c r="L161" s="6">
        <f t="shared" si="6"/>
        <v>9975</v>
      </c>
      <c r="M161" s="6" cm="1">
        <f t="array" ref="M161">L161*_xlfn.IFS(L161&lt;=5000,0.02,L161&lt;=15000,0.04,L161&gt;15000,0.06)</f>
        <v>399</v>
      </c>
      <c r="N161" s="6">
        <f t="shared" si="7"/>
        <v>2175</v>
      </c>
      <c r="O161" s="8">
        <f t="shared" si="8"/>
        <v>0.21804511278195488</v>
      </c>
    </row>
    <row r="162" spans="1:15" x14ac:dyDescent="0.45">
      <c r="A162" t="s">
        <v>244</v>
      </c>
      <c r="B162" s="4">
        <v>45501</v>
      </c>
      <c r="C162" t="s">
        <v>60</v>
      </c>
      <c r="D162" t="s">
        <v>28</v>
      </c>
      <c r="E162" t="s">
        <v>14</v>
      </c>
      <c r="F162" t="str">
        <f>_xlfn.XLOOKUP(C162,Salespeople!$A$2:$A$11,Salespeople!$C$2:$C$11)</f>
        <v>APAC</v>
      </c>
      <c r="G162" t="str">
        <f>_xlfn.XLOOKUP(C162,Salespeople!$A$2:$A$11,Salespeople!$D$2:$D$11)</f>
        <v>Japan</v>
      </c>
      <c r="H162" s="3">
        <v>16</v>
      </c>
      <c r="I162" s="5">
        <f>_xlfn.XLOOKUP($D162,Products!$A$2:$A$16,Products!$D$2:$D$16)</f>
        <v>95</v>
      </c>
      <c r="J162" s="5">
        <f>_xlfn.XLOOKUP(Sales!$D162,Products!$A$2:$A$16,Products!$E$2:$E$16)</f>
        <v>44</v>
      </c>
      <c r="K162" s="8" cm="1">
        <f t="array" ref="K162">_xlfn.IFS(H162&lt;=5,0%,H162&lt;=10,5%,H162&lt;=15,10%,H162&lt;=20,15%,H162&gt;20,20%)</f>
        <v>0.15</v>
      </c>
      <c r="L162" s="6">
        <f t="shared" si="6"/>
        <v>1292</v>
      </c>
      <c r="M162" s="6" cm="1">
        <f t="array" ref="M162">L162*_xlfn.IFS(L162&lt;=5000,0.02,L162&lt;=15000,0.04,L162&gt;15000,0.06)</f>
        <v>25.84</v>
      </c>
      <c r="N162" s="6">
        <f t="shared" si="7"/>
        <v>588</v>
      </c>
      <c r="O162" s="8">
        <f t="shared" si="8"/>
        <v>0.45510835913312692</v>
      </c>
    </row>
    <row r="163" spans="1:15" x14ac:dyDescent="0.45">
      <c r="A163" t="s">
        <v>245</v>
      </c>
      <c r="B163" s="4">
        <v>45308</v>
      </c>
      <c r="C163" t="s">
        <v>51</v>
      </c>
      <c r="D163" t="s">
        <v>79</v>
      </c>
      <c r="E163" t="s">
        <v>14</v>
      </c>
      <c r="F163" t="str">
        <f>_xlfn.XLOOKUP(C163,Salespeople!$A$2:$A$11,Salespeople!$C$2:$C$11)</f>
        <v>Americas</v>
      </c>
      <c r="G163" t="str">
        <f>_xlfn.XLOOKUP(C163,Salespeople!$A$2:$A$11,Salespeople!$D$2:$D$11)</f>
        <v>Mexico</v>
      </c>
      <c r="H163" s="3">
        <v>10</v>
      </c>
      <c r="I163" s="5">
        <f>_xlfn.XLOOKUP($D163,Products!$A$2:$A$16,Products!$D$2:$D$16)</f>
        <v>240</v>
      </c>
      <c r="J163" s="5">
        <f>_xlfn.XLOOKUP(Sales!$D163,Products!$A$2:$A$16,Products!$E$2:$E$16)</f>
        <v>150</v>
      </c>
      <c r="K163" s="8" cm="1">
        <f t="array" ref="K163">_xlfn.IFS(H163&lt;=5,0%,H163&lt;=10,5%,H163&lt;=15,10%,H163&lt;=20,15%,H163&gt;20,20%)</f>
        <v>0.05</v>
      </c>
      <c r="L163" s="6">
        <f t="shared" si="6"/>
        <v>2280</v>
      </c>
      <c r="M163" s="6" cm="1">
        <f t="array" ref="M163">L163*_xlfn.IFS(L163&lt;=5000,0.02,L163&lt;=15000,0.04,L163&gt;15000,0.06)</f>
        <v>45.6</v>
      </c>
      <c r="N163" s="6">
        <f t="shared" si="7"/>
        <v>780</v>
      </c>
      <c r="O163" s="8">
        <f t="shared" si="8"/>
        <v>0.34210526315789475</v>
      </c>
    </row>
    <row r="164" spans="1:15" x14ac:dyDescent="0.45">
      <c r="A164" t="s">
        <v>246</v>
      </c>
      <c r="B164" s="4">
        <v>45328</v>
      </c>
      <c r="C164" t="s">
        <v>51</v>
      </c>
      <c r="D164" t="s">
        <v>91</v>
      </c>
      <c r="E164" t="s">
        <v>48</v>
      </c>
      <c r="F164" t="str">
        <f>_xlfn.XLOOKUP(C164,Salespeople!$A$2:$A$11,Salespeople!$C$2:$C$11)</f>
        <v>Americas</v>
      </c>
      <c r="G164" t="str">
        <f>_xlfn.XLOOKUP(C164,Salespeople!$A$2:$A$11,Salespeople!$D$2:$D$11)</f>
        <v>Mexico</v>
      </c>
      <c r="H164" s="3">
        <v>21</v>
      </c>
      <c r="I164" s="5">
        <f>_xlfn.XLOOKUP($D164,Products!$A$2:$A$16,Products!$D$2:$D$16)</f>
        <v>160</v>
      </c>
      <c r="J164" s="5">
        <f>_xlfn.XLOOKUP(Sales!$D164,Products!$A$2:$A$16,Products!$E$2:$E$16)</f>
        <v>88</v>
      </c>
      <c r="K164" s="8" cm="1">
        <f t="array" ref="K164">_xlfn.IFS(H164&lt;=5,0%,H164&lt;=10,5%,H164&lt;=15,10%,H164&lt;=20,15%,H164&gt;20,20%)</f>
        <v>0.2</v>
      </c>
      <c r="L164" s="6">
        <f t="shared" si="6"/>
        <v>2688</v>
      </c>
      <c r="M164" s="6" cm="1">
        <f t="array" ref="M164">L164*_xlfn.IFS(L164&lt;=5000,0.02,L164&lt;=15000,0.04,L164&gt;15000,0.06)</f>
        <v>53.76</v>
      </c>
      <c r="N164" s="6">
        <f t="shared" si="7"/>
        <v>840</v>
      </c>
      <c r="O164" s="8">
        <f t="shared" si="8"/>
        <v>0.3125</v>
      </c>
    </row>
    <row r="165" spans="1:15" x14ac:dyDescent="0.45">
      <c r="A165" t="s">
        <v>247</v>
      </c>
      <c r="B165" s="4">
        <v>45509</v>
      </c>
      <c r="C165" t="s">
        <v>17</v>
      </c>
      <c r="D165" t="s">
        <v>62</v>
      </c>
      <c r="E165" t="s">
        <v>23</v>
      </c>
      <c r="F165" t="str">
        <f>_xlfn.XLOOKUP(C165,Salespeople!$A$2:$A$11,Salespeople!$C$2:$C$11)</f>
        <v>EMEA</v>
      </c>
      <c r="G165" t="str">
        <f>_xlfn.XLOOKUP(C165,Salespeople!$A$2:$A$11,Salespeople!$D$2:$D$11)</f>
        <v>Portugal</v>
      </c>
      <c r="H165" s="3">
        <v>21</v>
      </c>
      <c r="I165" s="5">
        <f>_xlfn.XLOOKUP($D165,Products!$A$2:$A$16,Products!$D$2:$D$16)</f>
        <v>1750</v>
      </c>
      <c r="J165" s="5">
        <f>_xlfn.XLOOKUP(Sales!$D165,Products!$A$2:$A$16,Products!$E$2:$E$16)</f>
        <v>1300</v>
      </c>
      <c r="K165" s="8" cm="1">
        <f t="array" ref="K165">_xlfn.IFS(H165&lt;=5,0%,H165&lt;=10,5%,H165&lt;=15,10%,H165&lt;=20,15%,H165&gt;20,20%)</f>
        <v>0.2</v>
      </c>
      <c r="L165" s="6">
        <f t="shared" si="6"/>
        <v>29400</v>
      </c>
      <c r="M165" s="6" cm="1">
        <f t="array" ref="M165">L165*_xlfn.IFS(L165&lt;=5000,0.02,L165&lt;=15000,0.04,L165&gt;15000,0.06)</f>
        <v>1764</v>
      </c>
      <c r="N165" s="6">
        <f t="shared" si="7"/>
        <v>2100</v>
      </c>
      <c r="O165" s="8">
        <f t="shared" si="8"/>
        <v>7.1428571428571425E-2</v>
      </c>
    </row>
    <row r="166" spans="1:15" x14ac:dyDescent="0.45">
      <c r="A166" t="s">
        <v>248</v>
      </c>
      <c r="B166" s="4">
        <v>45428</v>
      </c>
      <c r="C166" t="s">
        <v>26</v>
      </c>
      <c r="D166" t="s">
        <v>134</v>
      </c>
      <c r="E166" t="s">
        <v>23</v>
      </c>
      <c r="F166" t="str">
        <f>_xlfn.XLOOKUP(C166,Salespeople!$A$2:$A$11,Salespeople!$C$2:$C$11)</f>
        <v>APAC</v>
      </c>
      <c r="G166" t="str">
        <f>_xlfn.XLOOKUP(C166,Salespeople!$A$2:$A$11,Salespeople!$D$2:$D$11)</f>
        <v>Singapore</v>
      </c>
      <c r="H166" s="3">
        <v>6</v>
      </c>
      <c r="I166" s="5">
        <f>_xlfn.XLOOKUP($D166,Products!$A$2:$A$16,Products!$D$2:$D$16)</f>
        <v>79</v>
      </c>
      <c r="J166" s="5">
        <f>_xlfn.XLOOKUP(Sales!$D166,Products!$A$2:$A$16,Products!$E$2:$E$16)</f>
        <v>38</v>
      </c>
      <c r="K166" s="8" cm="1">
        <f t="array" ref="K166">_xlfn.IFS(H166&lt;=5,0%,H166&lt;=10,5%,H166&lt;=15,10%,H166&lt;=20,15%,H166&gt;20,20%)</f>
        <v>0.05</v>
      </c>
      <c r="L166" s="6">
        <f t="shared" si="6"/>
        <v>450.29999999999995</v>
      </c>
      <c r="M166" s="6" cm="1">
        <f t="array" ref="M166">L166*_xlfn.IFS(L166&lt;=5000,0.02,L166&lt;=15000,0.04,L166&gt;15000,0.06)</f>
        <v>9.0059999999999985</v>
      </c>
      <c r="N166" s="6">
        <f t="shared" si="7"/>
        <v>222.29999999999995</v>
      </c>
      <c r="O166" s="8">
        <f t="shared" si="8"/>
        <v>0.49367088607594933</v>
      </c>
    </row>
    <row r="167" spans="1:15" x14ac:dyDescent="0.45">
      <c r="A167" t="s">
        <v>249</v>
      </c>
      <c r="B167" s="4">
        <v>45596</v>
      </c>
      <c r="C167" t="s">
        <v>139</v>
      </c>
      <c r="D167" t="s">
        <v>91</v>
      </c>
      <c r="E167" t="s">
        <v>48</v>
      </c>
      <c r="F167" t="str">
        <f>_xlfn.XLOOKUP(C167,Salespeople!$A$2:$A$11,Salespeople!$C$2:$C$11)</f>
        <v>Americas</v>
      </c>
      <c r="G167" t="str">
        <f>_xlfn.XLOOKUP(C167,Salespeople!$A$2:$A$11,Salespeople!$D$2:$D$11)</f>
        <v>Canada</v>
      </c>
      <c r="H167" s="3">
        <v>15</v>
      </c>
      <c r="I167" s="5">
        <f>_xlfn.XLOOKUP($D167,Products!$A$2:$A$16,Products!$D$2:$D$16)</f>
        <v>160</v>
      </c>
      <c r="J167" s="5">
        <f>_xlfn.XLOOKUP(Sales!$D167,Products!$A$2:$A$16,Products!$E$2:$E$16)</f>
        <v>88</v>
      </c>
      <c r="K167" s="8" cm="1">
        <f t="array" ref="K167">_xlfn.IFS(H167&lt;=5,0%,H167&lt;=10,5%,H167&lt;=15,10%,H167&lt;=20,15%,H167&gt;20,20%)</f>
        <v>0.1</v>
      </c>
      <c r="L167" s="6">
        <f t="shared" si="6"/>
        <v>2160</v>
      </c>
      <c r="M167" s="6" cm="1">
        <f t="array" ref="M167">L167*_xlfn.IFS(L167&lt;=5000,0.02,L167&lt;=15000,0.04,L167&gt;15000,0.06)</f>
        <v>43.2</v>
      </c>
      <c r="N167" s="6">
        <f t="shared" si="7"/>
        <v>840</v>
      </c>
      <c r="O167" s="8">
        <f t="shared" si="8"/>
        <v>0.3888888888888889</v>
      </c>
    </row>
    <row r="168" spans="1:15" x14ac:dyDescent="0.45">
      <c r="A168" t="s">
        <v>250</v>
      </c>
      <c r="B168" s="4">
        <v>45531</v>
      </c>
      <c r="C168" t="s">
        <v>66</v>
      </c>
      <c r="D168" t="s">
        <v>28</v>
      </c>
      <c r="E168" t="s">
        <v>48</v>
      </c>
      <c r="F168" t="str">
        <f>_xlfn.XLOOKUP(C168,Salespeople!$A$2:$A$11,Salespeople!$C$2:$C$11)</f>
        <v>Americas</v>
      </c>
      <c r="G168" t="str">
        <f>_xlfn.XLOOKUP(C168,Salespeople!$A$2:$A$11,Salespeople!$D$2:$D$11)</f>
        <v>United States</v>
      </c>
      <c r="H168" s="3">
        <v>9</v>
      </c>
      <c r="I168" s="5">
        <f>_xlfn.XLOOKUP($D168,Products!$A$2:$A$16,Products!$D$2:$D$16)</f>
        <v>95</v>
      </c>
      <c r="J168" s="5">
        <f>_xlfn.XLOOKUP(Sales!$D168,Products!$A$2:$A$16,Products!$E$2:$E$16)</f>
        <v>44</v>
      </c>
      <c r="K168" s="8" cm="1">
        <f t="array" ref="K168">_xlfn.IFS(H168&lt;=5,0%,H168&lt;=10,5%,H168&lt;=15,10%,H168&lt;=20,15%,H168&gt;20,20%)</f>
        <v>0.05</v>
      </c>
      <c r="L168" s="6">
        <f t="shared" si="6"/>
        <v>812.25</v>
      </c>
      <c r="M168" s="6" cm="1">
        <f t="array" ref="M168">L168*_xlfn.IFS(L168&lt;=5000,0.02,L168&lt;=15000,0.04,L168&gt;15000,0.06)</f>
        <v>16.245000000000001</v>
      </c>
      <c r="N168" s="6">
        <f t="shared" si="7"/>
        <v>416.25</v>
      </c>
      <c r="O168" s="8">
        <f t="shared" si="8"/>
        <v>0.51246537396121883</v>
      </c>
    </row>
    <row r="169" spans="1:15" x14ac:dyDescent="0.45">
      <c r="A169" t="s">
        <v>251</v>
      </c>
      <c r="B169" s="4">
        <v>45516</v>
      </c>
      <c r="C169" t="s">
        <v>17</v>
      </c>
      <c r="D169" t="s">
        <v>40</v>
      </c>
      <c r="E169" t="s">
        <v>23</v>
      </c>
      <c r="F169" t="str">
        <f>_xlfn.XLOOKUP(C169,Salespeople!$A$2:$A$11,Salespeople!$C$2:$C$11)</f>
        <v>EMEA</v>
      </c>
      <c r="G169" t="str">
        <f>_xlfn.XLOOKUP(C169,Salespeople!$A$2:$A$11,Salespeople!$D$2:$D$11)</f>
        <v>Portugal</v>
      </c>
      <c r="H169" s="3">
        <v>14</v>
      </c>
      <c r="I169" s="5">
        <f>_xlfn.XLOOKUP($D169,Products!$A$2:$A$16,Products!$D$2:$D$16)</f>
        <v>1050</v>
      </c>
      <c r="J169" s="5">
        <f>_xlfn.XLOOKUP(Sales!$D169,Products!$A$2:$A$16,Products!$E$2:$E$16)</f>
        <v>760</v>
      </c>
      <c r="K169" s="8" cm="1">
        <f t="array" ref="K169">_xlfn.IFS(H169&lt;=5,0%,H169&lt;=10,5%,H169&lt;=15,10%,H169&lt;=20,15%,H169&gt;20,20%)</f>
        <v>0.1</v>
      </c>
      <c r="L169" s="6">
        <f t="shared" si="6"/>
        <v>13230</v>
      </c>
      <c r="M169" s="6" cm="1">
        <f t="array" ref="M169">L169*_xlfn.IFS(L169&lt;=5000,0.02,L169&lt;=15000,0.04,L169&gt;15000,0.06)</f>
        <v>529.20000000000005</v>
      </c>
      <c r="N169" s="6">
        <f t="shared" si="7"/>
        <v>2590</v>
      </c>
      <c r="O169" s="8">
        <f t="shared" si="8"/>
        <v>0.19576719576719576</v>
      </c>
    </row>
    <row r="170" spans="1:15" x14ac:dyDescent="0.45">
      <c r="A170" t="s">
        <v>252</v>
      </c>
      <c r="B170" s="4">
        <v>45601</v>
      </c>
      <c r="C170" t="s">
        <v>66</v>
      </c>
      <c r="D170" t="s">
        <v>19</v>
      </c>
      <c r="E170" t="s">
        <v>23</v>
      </c>
      <c r="F170" t="str">
        <f>_xlfn.XLOOKUP(C170,Salespeople!$A$2:$A$11,Salespeople!$C$2:$C$11)</f>
        <v>Americas</v>
      </c>
      <c r="G170" t="str">
        <f>_xlfn.XLOOKUP(C170,Salespeople!$A$2:$A$11,Salespeople!$D$2:$D$11)</f>
        <v>United States</v>
      </c>
      <c r="H170" s="3">
        <v>8</v>
      </c>
      <c r="I170" s="5">
        <f>_xlfn.XLOOKUP($D170,Products!$A$2:$A$16,Products!$D$2:$D$16)</f>
        <v>25</v>
      </c>
      <c r="J170" s="5">
        <f>_xlfn.XLOOKUP(Sales!$D170,Products!$A$2:$A$16,Products!$E$2:$E$16)</f>
        <v>11</v>
      </c>
      <c r="K170" s="8" cm="1">
        <f t="array" ref="K170">_xlfn.IFS(H170&lt;=5,0%,H170&lt;=10,5%,H170&lt;=15,10%,H170&lt;=20,15%,H170&gt;20,20%)</f>
        <v>0.05</v>
      </c>
      <c r="L170" s="6">
        <f t="shared" si="6"/>
        <v>190</v>
      </c>
      <c r="M170" s="6" cm="1">
        <f t="array" ref="M170">L170*_xlfn.IFS(L170&lt;=5000,0.02,L170&lt;=15000,0.04,L170&gt;15000,0.06)</f>
        <v>3.8000000000000003</v>
      </c>
      <c r="N170" s="6">
        <f t="shared" si="7"/>
        <v>102</v>
      </c>
      <c r="O170" s="8">
        <f t="shared" si="8"/>
        <v>0.5368421052631579</v>
      </c>
    </row>
    <row r="171" spans="1:15" x14ac:dyDescent="0.45">
      <c r="A171" t="s">
        <v>253</v>
      </c>
      <c r="B171" s="4">
        <v>45636</v>
      </c>
      <c r="C171" t="s">
        <v>66</v>
      </c>
      <c r="D171" t="s">
        <v>40</v>
      </c>
      <c r="E171" t="s">
        <v>23</v>
      </c>
      <c r="F171" t="str">
        <f>_xlfn.XLOOKUP(C171,Salespeople!$A$2:$A$11,Salespeople!$C$2:$C$11)</f>
        <v>Americas</v>
      </c>
      <c r="G171" t="str">
        <f>_xlfn.XLOOKUP(C171,Salespeople!$A$2:$A$11,Salespeople!$D$2:$D$11)</f>
        <v>United States</v>
      </c>
      <c r="H171" s="3">
        <v>25</v>
      </c>
      <c r="I171" s="5">
        <f>_xlfn.XLOOKUP($D171,Products!$A$2:$A$16,Products!$D$2:$D$16)</f>
        <v>1050</v>
      </c>
      <c r="J171" s="5">
        <f>_xlfn.XLOOKUP(Sales!$D171,Products!$A$2:$A$16,Products!$E$2:$E$16)</f>
        <v>760</v>
      </c>
      <c r="K171" s="8" cm="1">
        <f t="array" ref="K171">_xlfn.IFS(H171&lt;=5,0%,H171&lt;=10,5%,H171&lt;=15,10%,H171&lt;=20,15%,H171&gt;20,20%)</f>
        <v>0.2</v>
      </c>
      <c r="L171" s="6">
        <f t="shared" si="6"/>
        <v>21000</v>
      </c>
      <c r="M171" s="6" cm="1">
        <f t="array" ref="M171">L171*_xlfn.IFS(L171&lt;=5000,0.02,L171&lt;=15000,0.04,L171&gt;15000,0.06)</f>
        <v>1260</v>
      </c>
      <c r="N171" s="6">
        <f t="shared" si="7"/>
        <v>2000</v>
      </c>
      <c r="O171" s="8">
        <f t="shared" si="8"/>
        <v>9.5238095238095233E-2</v>
      </c>
    </row>
    <row r="172" spans="1:15" x14ac:dyDescent="0.45">
      <c r="A172" t="s">
        <v>254</v>
      </c>
      <c r="B172" s="4">
        <v>45532</v>
      </c>
      <c r="C172" t="s">
        <v>38</v>
      </c>
      <c r="D172" t="s">
        <v>74</v>
      </c>
      <c r="E172" t="s">
        <v>48</v>
      </c>
      <c r="F172" t="str">
        <f>_xlfn.XLOOKUP(C172,Salespeople!$A$2:$A$11,Salespeople!$C$2:$C$11)</f>
        <v>Americas</v>
      </c>
      <c r="G172" t="str">
        <f>_xlfn.XLOOKUP(C172,Salespeople!$A$2:$A$11,Salespeople!$D$2:$D$11)</f>
        <v>Brazil</v>
      </c>
      <c r="H172" s="3">
        <v>9</v>
      </c>
      <c r="I172" s="5">
        <f>_xlfn.XLOOKUP($D172,Products!$A$2:$A$16,Products!$D$2:$D$16)</f>
        <v>210</v>
      </c>
      <c r="J172" s="5">
        <f>_xlfn.XLOOKUP(Sales!$D172,Products!$A$2:$A$16,Products!$E$2:$E$16)</f>
        <v>120</v>
      </c>
      <c r="K172" s="8" cm="1">
        <f t="array" ref="K172">_xlfn.IFS(H172&lt;=5,0%,H172&lt;=10,5%,H172&lt;=15,10%,H172&lt;=20,15%,H172&gt;20,20%)</f>
        <v>0.05</v>
      </c>
      <c r="L172" s="6">
        <f t="shared" si="6"/>
        <v>1795.5</v>
      </c>
      <c r="M172" s="6" cm="1">
        <f t="array" ref="M172">L172*_xlfn.IFS(L172&lt;=5000,0.02,L172&lt;=15000,0.04,L172&gt;15000,0.06)</f>
        <v>35.910000000000004</v>
      </c>
      <c r="N172" s="6">
        <f t="shared" si="7"/>
        <v>715.5</v>
      </c>
      <c r="O172" s="8">
        <f t="shared" si="8"/>
        <v>0.39849624060150374</v>
      </c>
    </row>
    <row r="173" spans="1:15" x14ac:dyDescent="0.45">
      <c r="A173" t="s">
        <v>255</v>
      </c>
      <c r="B173" s="4">
        <v>45591</v>
      </c>
      <c r="C173" t="s">
        <v>33</v>
      </c>
      <c r="D173" t="s">
        <v>74</v>
      </c>
      <c r="E173" t="s">
        <v>48</v>
      </c>
      <c r="F173" t="str">
        <f>_xlfn.XLOOKUP(C173,Salespeople!$A$2:$A$11,Salespeople!$C$2:$C$11)</f>
        <v>EMEA</v>
      </c>
      <c r="G173" t="str">
        <f>_xlfn.XLOOKUP(C173,Salespeople!$A$2:$A$11,Salespeople!$D$2:$D$11)</f>
        <v>Kenya</v>
      </c>
      <c r="H173" s="3">
        <v>3</v>
      </c>
      <c r="I173" s="5">
        <f>_xlfn.XLOOKUP($D173,Products!$A$2:$A$16,Products!$D$2:$D$16)</f>
        <v>210</v>
      </c>
      <c r="J173" s="5">
        <f>_xlfn.XLOOKUP(Sales!$D173,Products!$A$2:$A$16,Products!$E$2:$E$16)</f>
        <v>120</v>
      </c>
      <c r="K173" s="8" cm="1">
        <f t="array" ref="K173">_xlfn.IFS(H173&lt;=5,0%,H173&lt;=10,5%,H173&lt;=15,10%,H173&lt;=20,15%,H173&gt;20,20%)</f>
        <v>0</v>
      </c>
      <c r="L173" s="6">
        <f t="shared" si="6"/>
        <v>630</v>
      </c>
      <c r="M173" s="6" cm="1">
        <f t="array" ref="M173">L173*_xlfn.IFS(L173&lt;=5000,0.02,L173&lt;=15000,0.04,L173&gt;15000,0.06)</f>
        <v>12.6</v>
      </c>
      <c r="N173" s="6">
        <f t="shared" si="7"/>
        <v>270</v>
      </c>
      <c r="O173" s="8">
        <f t="shared" si="8"/>
        <v>0.42857142857142855</v>
      </c>
    </row>
    <row r="174" spans="1:15" x14ac:dyDescent="0.45">
      <c r="A174" t="s">
        <v>256</v>
      </c>
      <c r="B174" s="4">
        <v>45470</v>
      </c>
      <c r="C174" t="s">
        <v>33</v>
      </c>
      <c r="D174" t="s">
        <v>56</v>
      </c>
      <c r="E174" t="s">
        <v>48</v>
      </c>
      <c r="F174" t="str">
        <f>_xlfn.XLOOKUP(C174,Salespeople!$A$2:$A$11,Salespeople!$C$2:$C$11)</f>
        <v>EMEA</v>
      </c>
      <c r="G174" t="str">
        <f>_xlfn.XLOOKUP(C174,Salespeople!$A$2:$A$11,Salespeople!$D$2:$D$11)</f>
        <v>Kenya</v>
      </c>
      <c r="H174" s="3">
        <v>22</v>
      </c>
      <c r="I174" s="5">
        <f>_xlfn.XLOOKUP($D174,Products!$A$2:$A$16,Products!$D$2:$D$16)</f>
        <v>520</v>
      </c>
      <c r="J174" s="5">
        <f>_xlfn.XLOOKUP(Sales!$D174,Products!$A$2:$A$16,Products!$E$2:$E$16)</f>
        <v>360</v>
      </c>
      <c r="K174" s="8" cm="1">
        <f t="array" ref="K174">_xlfn.IFS(H174&lt;=5,0%,H174&lt;=10,5%,H174&lt;=15,10%,H174&lt;=20,15%,H174&gt;20,20%)</f>
        <v>0.2</v>
      </c>
      <c r="L174" s="6">
        <f t="shared" si="6"/>
        <v>9152</v>
      </c>
      <c r="M174" s="6" cm="1">
        <f t="array" ref="M174">L174*_xlfn.IFS(L174&lt;=5000,0.02,L174&lt;=15000,0.04,L174&gt;15000,0.06)</f>
        <v>366.08</v>
      </c>
      <c r="N174" s="6">
        <f t="shared" si="7"/>
        <v>1232</v>
      </c>
      <c r="O174" s="8">
        <f t="shared" si="8"/>
        <v>0.13461538461538461</v>
      </c>
    </row>
    <row r="175" spans="1:15" x14ac:dyDescent="0.45">
      <c r="A175" t="s">
        <v>257</v>
      </c>
      <c r="B175" s="4">
        <v>45374</v>
      </c>
      <c r="C175" t="s">
        <v>83</v>
      </c>
      <c r="D175" t="s">
        <v>44</v>
      </c>
      <c r="E175" t="s">
        <v>14</v>
      </c>
      <c r="F175" t="str">
        <f>_xlfn.XLOOKUP(C175,Salespeople!$A$2:$A$11,Salespeople!$C$2:$C$11)</f>
        <v>EMEA</v>
      </c>
      <c r="G175" t="str">
        <f>_xlfn.XLOOKUP(C175,Salespeople!$A$2:$A$11,Salespeople!$D$2:$D$11)</f>
        <v>United Arab Emirates</v>
      </c>
      <c r="H175" s="3">
        <v>16</v>
      </c>
      <c r="I175" s="5">
        <f>_xlfn.XLOOKUP($D175,Products!$A$2:$A$16,Products!$D$2:$D$16)</f>
        <v>180</v>
      </c>
      <c r="J175" s="5">
        <f>_xlfn.XLOOKUP(Sales!$D175,Products!$A$2:$A$16,Products!$E$2:$E$16)</f>
        <v>105</v>
      </c>
      <c r="K175" s="8" cm="1">
        <f t="array" ref="K175">_xlfn.IFS(H175&lt;=5,0%,H175&lt;=10,5%,H175&lt;=15,10%,H175&lt;=20,15%,H175&gt;20,20%)</f>
        <v>0.15</v>
      </c>
      <c r="L175" s="6">
        <f t="shared" si="6"/>
        <v>2448</v>
      </c>
      <c r="M175" s="6" cm="1">
        <f t="array" ref="M175">L175*_xlfn.IFS(L175&lt;=5000,0.02,L175&lt;=15000,0.04,L175&gt;15000,0.06)</f>
        <v>48.96</v>
      </c>
      <c r="N175" s="6">
        <f t="shared" si="7"/>
        <v>768</v>
      </c>
      <c r="O175" s="8">
        <f t="shared" si="8"/>
        <v>0.31372549019607843</v>
      </c>
    </row>
    <row r="176" spans="1:15" x14ac:dyDescent="0.45">
      <c r="A176" t="s">
        <v>258</v>
      </c>
      <c r="B176" s="4">
        <v>45631</v>
      </c>
      <c r="C176" t="s">
        <v>33</v>
      </c>
      <c r="D176" t="s">
        <v>68</v>
      </c>
      <c r="E176" t="s">
        <v>14</v>
      </c>
      <c r="F176" t="str">
        <f>_xlfn.XLOOKUP(C176,Salespeople!$A$2:$A$11,Salespeople!$C$2:$C$11)</f>
        <v>EMEA</v>
      </c>
      <c r="G176" t="str">
        <f>_xlfn.XLOOKUP(C176,Salespeople!$A$2:$A$11,Salespeople!$D$2:$D$11)</f>
        <v>Kenya</v>
      </c>
      <c r="H176" s="3">
        <v>2</v>
      </c>
      <c r="I176" s="5">
        <f>_xlfn.XLOOKUP($D176,Products!$A$2:$A$16,Products!$D$2:$D$16)</f>
        <v>110</v>
      </c>
      <c r="J176" s="5">
        <f>_xlfn.XLOOKUP(Sales!$D176,Products!$A$2:$A$16,Products!$E$2:$E$16)</f>
        <v>55</v>
      </c>
      <c r="K176" s="8" cm="1">
        <f t="array" ref="K176">_xlfn.IFS(H176&lt;=5,0%,H176&lt;=10,5%,H176&lt;=15,10%,H176&lt;=20,15%,H176&gt;20,20%)</f>
        <v>0</v>
      </c>
      <c r="L176" s="6">
        <f t="shared" si="6"/>
        <v>220</v>
      </c>
      <c r="M176" s="6" cm="1">
        <f t="array" ref="M176">L176*_xlfn.IFS(L176&lt;=5000,0.02,L176&lt;=15000,0.04,L176&gt;15000,0.06)</f>
        <v>4.4000000000000004</v>
      </c>
      <c r="N176" s="6">
        <f t="shared" si="7"/>
        <v>110</v>
      </c>
      <c r="O176" s="8">
        <f t="shared" si="8"/>
        <v>0.5</v>
      </c>
    </row>
    <row r="177" spans="1:15" x14ac:dyDescent="0.45">
      <c r="A177" t="s">
        <v>259</v>
      </c>
      <c r="B177" s="4">
        <v>45337</v>
      </c>
      <c r="C177" t="s">
        <v>83</v>
      </c>
      <c r="D177" t="s">
        <v>79</v>
      </c>
      <c r="E177" t="s">
        <v>48</v>
      </c>
      <c r="F177" t="str">
        <f>_xlfn.XLOOKUP(C177,Salespeople!$A$2:$A$11,Salespeople!$C$2:$C$11)</f>
        <v>EMEA</v>
      </c>
      <c r="G177" t="str">
        <f>_xlfn.XLOOKUP(C177,Salespeople!$A$2:$A$11,Salespeople!$D$2:$D$11)</f>
        <v>United Arab Emirates</v>
      </c>
      <c r="H177" s="3">
        <v>4</v>
      </c>
      <c r="I177" s="5">
        <f>_xlfn.XLOOKUP($D177,Products!$A$2:$A$16,Products!$D$2:$D$16)</f>
        <v>240</v>
      </c>
      <c r="J177" s="5">
        <f>_xlfn.XLOOKUP(Sales!$D177,Products!$A$2:$A$16,Products!$E$2:$E$16)</f>
        <v>150</v>
      </c>
      <c r="K177" s="8" cm="1">
        <f t="array" ref="K177">_xlfn.IFS(H177&lt;=5,0%,H177&lt;=10,5%,H177&lt;=15,10%,H177&lt;=20,15%,H177&gt;20,20%)</f>
        <v>0</v>
      </c>
      <c r="L177" s="6">
        <f t="shared" si="6"/>
        <v>960</v>
      </c>
      <c r="M177" s="6" cm="1">
        <f t="array" ref="M177">L177*_xlfn.IFS(L177&lt;=5000,0.02,L177&lt;=15000,0.04,L177&gt;15000,0.06)</f>
        <v>19.2</v>
      </c>
      <c r="N177" s="6">
        <f t="shared" si="7"/>
        <v>360</v>
      </c>
      <c r="O177" s="8">
        <f t="shared" si="8"/>
        <v>0.375</v>
      </c>
    </row>
    <row r="178" spans="1:15" x14ac:dyDescent="0.45">
      <c r="A178" t="s">
        <v>260</v>
      </c>
      <c r="B178" s="4">
        <v>45555</v>
      </c>
      <c r="C178" t="s">
        <v>131</v>
      </c>
      <c r="D178" t="s">
        <v>74</v>
      </c>
      <c r="E178" t="s">
        <v>14</v>
      </c>
      <c r="F178" t="str">
        <f>_xlfn.XLOOKUP(C178,Salespeople!$A$2:$A$11,Salespeople!$C$2:$C$11)</f>
        <v>EMEA</v>
      </c>
      <c r="G178" t="str">
        <f>_xlfn.XLOOKUP(C178,Salespeople!$A$2:$A$11,Salespeople!$D$2:$D$11)</f>
        <v>United Kingdom</v>
      </c>
      <c r="H178" s="3">
        <v>15</v>
      </c>
      <c r="I178" s="5">
        <f>_xlfn.XLOOKUP($D178,Products!$A$2:$A$16,Products!$D$2:$D$16)</f>
        <v>210</v>
      </c>
      <c r="J178" s="5">
        <f>_xlfn.XLOOKUP(Sales!$D178,Products!$A$2:$A$16,Products!$E$2:$E$16)</f>
        <v>120</v>
      </c>
      <c r="K178" s="8" cm="1">
        <f t="array" ref="K178">_xlfn.IFS(H178&lt;=5,0%,H178&lt;=10,5%,H178&lt;=15,10%,H178&lt;=20,15%,H178&gt;20,20%)</f>
        <v>0.1</v>
      </c>
      <c r="L178" s="6">
        <f t="shared" si="6"/>
        <v>2835</v>
      </c>
      <c r="M178" s="6" cm="1">
        <f t="array" ref="M178">L178*_xlfn.IFS(L178&lt;=5000,0.02,L178&lt;=15000,0.04,L178&gt;15000,0.06)</f>
        <v>56.7</v>
      </c>
      <c r="N178" s="6">
        <f t="shared" si="7"/>
        <v>1035</v>
      </c>
      <c r="O178" s="8">
        <f t="shared" si="8"/>
        <v>0.36507936507936506</v>
      </c>
    </row>
    <row r="179" spans="1:15" x14ac:dyDescent="0.45">
      <c r="A179" t="s">
        <v>261</v>
      </c>
      <c r="B179" s="4">
        <v>45319</v>
      </c>
      <c r="C179" t="s">
        <v>51</v>
      </c>
      <c r="D179" t="s">
        <v>62</v>
      </c>
      <c r="E179" t="s">
        <v>48</v>
      </c>
      <c r="F179" t="str">
        <f>_xlfn.XLOOKUP(C179,Salespeople!$A$2:$A$11,Salespeople!$C$2:$C$11)</f>
        <v>Americas</v>
      </c>
      <c r="G179" t="str">
        <f>_xlfn.XLOOKUP(C179,Salespeople!$A$2:$A$11,Salespeople!$D$2:$D$11)</f>
        <v>Mexico</v>
      </c>
      <c r="H179" s="3">
        <v>20</v>
      </c>
      <c r="I179" s="5">
        <f>_xlfn.XLOOKUP($D179,Products!$A$2:$A$16,Products!$D$2:$D$16)</f>
        <v>1750</v>
      </c>
      <c r="J179" s="5">
        <f>_xlfn.XLOOKUP(Sales!$D179,Products!$A$2:$A$16,Products!$E$2:$E$16)</f>
        <v>1300</v>
      </c>
      <c r="K179" s="8" cm="1">
        <f t="array" ref="K179">_xlfn.IFS(H179&lt;=5,0%,H179&lt;=10,5%,H179&lt;=15,10%,H179&lt;=20,15%,H179&gt;20,20%)</f>
        <v>0.15</v>
      </c>
      <c r="L179" s="6">
        <f t="shared" si="6"/>
        <v>29750</v>
      </c>
      <c r="M179" s="6" cm="1">
        <f t="array" ref="M179">L179*_xlfn.IFS(L179&lt;=5000,0.02,L179&lt;=15000,0.04,L179&gt;15000,0.06)</f>
        <v>1785</v>
      </c>
      <c r="N179" s="6">
        <f t="shared" si="7"/>
        <v>3750</v>
      </c>
      <c r="O179" s="8">
        <f t="shared" si="8"/>
        <v>0.12605042016806722</v>
      </c>
    </row>
    <row r="180" spans="1:15" x14ac:dyDescent="0.45">
      <c r="A180" t="s">
        <v>262</v>
      </c>
      <c r="B180" s="4">
        <v>45612</v>
      </c>
      <c r="C180" t="s">
        <v>60</v>
      </c>
      <c r="D180" t="s">
        <v>53</v>
      </c>
      <c r="E180" t="s">
        <v>23</v>
      </c>
      <c r="F180" t="str">
        <f>_xlfn.XLOOKUP(C180,Salespeople!$A$2:$A$11,Salespeople!$C$2:$C$11)</f>
        <v>APAC</v>
      </c>
      <c r="G180" t="str">
        <f>_xlfn.XLOOKUP(C180,Salespeople!$A$2:$A$11,Salespeople!$D$2:$D$11)</f>
        <v>Japan</v>
      </c>
      <c r="H180" s="3">
        <v>7</v>
      </c>
      <c r="I180" s="5">
        <f>_xlfn.XLOOKUP($D180,Products!$A$2:$A$16,Products!$D$2:$D$16)</f>
        <v>130</v>
      </c>
      <c r="J180" s="5">
        <f>_xlfn.XLOOKUP(Sales!$D180,Products!$A$2:$A$16,Products!$E$2:$E$16)</f>
        <v>62</v>
      </c>
      <c r="K180" s="8" cm="1">
        <f t="array" ref="K180">_xlfn.IFS(H180&lt;=5,0%,H180&lt;=10,5%,H180&lt;=15,10%,H180&lt;=20,15%,H180&gt;20,20%)</f>
        <v>0.05</v>
      </c>
      <c r="L180" s="6">
        <f t="shared" si="6"/>
        <v>864.5</v>
      </c>
      <c r="M180" s="6" cm="1">
        <f t="array" ref="M180">L180*_xlfn.IFS(L180&lt;=5000,0.02,L180&lt;=15000,0.04,L180&gt;15000,0.06)</f>
        <v>17.29</v>
      </c>
      <c r="N180" s="6">
        <f t="shared" si="7"/>
        <v>430.5</v>
      </c>
      <c r="O180" s="8">
        <f t="shared" si="8"/>
        <v>0.49797570850202427</v>
      </c>
    </row>
    <row r="181" spans="1:15" x14ac:dyDescent="0.45">
      <c r="A181" t="s">
        <v>263</v>
      </c>
      <c r="B181" s="4">
        <v>45573</v>
      </c>
      <c r="C181" t="s">
        <v>26</v>
      </c>
      <c r="D181" t="s">
        <v>91</v>
      </c>
      <c r="E181" t="s">
        <v>48</v>
      </c>
      <c r="F181" t="str">
        <f>_xlfn.XLOOKUP(C181,Salespeople!$A$2:$A$11,Salespeople!$C$2:$C$11)</f>
        <v>APAC</v>
      </c>
      <c r="G181" t="str">
        <f>_xlfn.XLOOKUP(C181,Salespeople!$A$2:$A$11,Salespeople!$D$2:$D$11)</f>
        <v>Singapore</v>
      </c>
      <c r="H181" s="3">
        <v>15</v>
      </c>
      <c r="I181" s="5">
        <f>_xlfn.XLOOKUP($D181,Products!$A$2:$A$16,Products!$D$2:$D$16)</f>
        <v>160</v>
      </c>
      <c r="J181" s="5">
        <f>_xlfn.XLOOKUP(Sales!$D181,Products!$A$2:$A$16,Products!$E$2:$E$16)</f>
        <v>88</v>
      </c>
      <c r="K181" s="8" cm="1">
        <f t="array" ref="K181">_xlfn.IFS(H181&lt;=5,0%,H181&lt;=10,5%,H181&lt;=15,10%,H181&lt;=20,15%,H181&gt;20,20%)</f>
        <v>0.1</v>
      </c>
      <c r="L181" s="6">
        <f t="shared" si="6"/>
        <v>2160</v>
      </c>
      <c r="M181" s="6" cm="1">
        <f t="array" ref="M181">L181*_xlfn.IFS(L181&lt;=5000,0.02,L181&lt;=15000,0.04,L181&gt;15000,0.06)</f>
        <v>43.2</v>
      </c>
      <c r="N181" s="6">
        <f t="shared" si="7"/>
        <v>840</v>
      </c>
      <c r="O181" s="8">
        <f t="shared" si="8"/>
        <v>0.3888888888888889</v>
      </c>
    </row>
    <row r="182" spans="1:15" x14ac:dyDescent="0.45">
      <c r="A182" t="s">
        <v>264</v>
      </c>
      <c r="B182" s="4">
        <v>45354</v>
      </c>
      <c r="C182" t="s">
        <v>131</v>
      </c>
      <c r="D182" t="s">
        <v>74</v>
      </c>
      <c r="E182" t="s">
        <v>14</v>
      </c>
      <c r="F182" t="str">
        <f>_xlfn.XLOOKUP(C182,Salespeople!$A$2:$A$11,Salespeople!$C$2:$C$11)</f>
        <v>EMEA</v>
      </c>
      <c r="G182" t="str">
        <f>_xlfn.XLOOKUP(C182,Salespeople!$A$2:$A$11,Salespeople!$D$2:$D$11)</f>
        <v>United Kingdom</v>
      </c>
      <c r="H182" s="3">
        <v>8</v>
      </c>
      <c r="I182" s="5">
        <f>_xlfn.XLOOKUP($D182,Products!$A$2:$A$16,Products!$D$2:$D$16)</f>
        <v>210</v>
      </c>
      <c r="J182" s="5">
        <f>_xlfn.XLOOKUP(Sales!$D182,Products!$A$2:$A$16,Products!$E$2:$E$16)</f>
        <v>120</v>
      </c>
      <c r="K182" s="8" cm="1">
        <f t="array" ref="K182">_xlfn.IFS(H182&lt;=5,0%,H182&lt;=10,5%,H182&lt;=15,10%,H182&lt;=20,15%,H182&gt;20,20%)</f>
        <v>0.05</v>
      </c>
      <c r="L182" s="6">
        <f t="shared" si="6"/>
        <v>1596</v>
      </c>
      <c r="M182" s="6" cm="1">
        <f t="array" ref="M182">L182*_xlfn.IFS(L182&lt;=5000,0.02,L182&lt;=15000,0.04,L182&gt;15000,0.06)</f>
        <v>31.92</v>
      </c>
      <c r="N182" s="6">
        <f t="shared" si="7"/>
        <v>636</v>
      </c>
      <c r="O182" s="8">
        <f t="shared" si="8"/>
        <v>0.39849624060150374</v>
      </c>
    </row>
    <row r="183" spans="1:15" x14ac:dyDescent="0.45">
      <c r="A183" t="s">
        <v>265</v>
      </c>
      <c r="B183" s="4">
        <v>45451</v>
      </c>
      <c r="C183" t="s">
        <v>38</v>
      </c>
      <c r="D183" t="s">
        <v>19</v>
      </c>
      <c r="E183" t="s">
        <v>14</v>
      </c>
      <c r="F183" t="str">
        <f>_xlfn.XLOOKUP(C183,Salespeople!$A$2:$A$11,Salespeople!$C$2:$C$11)</f>
        <v>Americas</v>
      </c>
      <c r="G183" t="str">
        <f>_xlfn.XLOOKUP(C183,Salespeople!$A$2:$A$11,Salespeople!$D$2:$D$11)</f>
        <v>Brazil</v>
      </c>
      <c r="H183" s="3">
        <v>14</v>
      </c>
      <c r="I183" s="5">
        <f>_xlfn.XLOOKUP($D183,Products!$A$2:$A$16,Products!$D$2:$D$16)</f>
        <v>25</v>
      </c>
      <c r="J183" s="5">
        <f>_xlfn.XLOOKUP(Sales!$D183,Products!$A$2:$A$16,Products!$E$2:$E$16)</f>
        <v>11</v>
      </c>
      <c r="K183" s="8" cm="1">
        <f t="array" ref="K183">_xlfn.IFS(H183&lt;=5,0%,H183&lt;=10,5%,H183&lt;=15,10%,H183&lt;=20,15%,H183&gt;20,20%)</f>
        <v>0.1</v>
      </c>
      <c r="L183" s="6">
        <f t="shared" si="6"/>
        <v>315</v>
      </c>
      <c r="M183" s="6" cm="1">
        <f t="array" ref="M183">L183*_xlfn.IFS(L183&lt;=5000,0.02,L183&lt;=15000,0.04,L183&gt;15000,0.06)</f>
        <v>6.3</v>
      </c>
      <c r="N183" s="6">
        <f t="shared" si="7"/>
        <v>161</v>
      </c>
      <c r="O183" s="8">
        <f t="shared" si="8"/>
        <v>0.51111111111111107</v>
      </c>
    </row>
    <row r="184" spans="1:15" x14ac:dyDescent="0.45">
      <c r="A184" t="s">
        <v>266</v>
      </c>
      <c r="B184" s="4">
        <v>45407</v>
      </c>
      <c r="C184" t="s">
        <v>17</v>
      </c>
      <c r="D184" t="s">
        <v>103</v>
      </c>
      <c r="E184" t="s">
        <v>23</v>
      </c>
      <c r="F184" t="str">
        <f>_xlfn.XLOOKUP(C184,Salespeople!$A$2:$A$11,Salespeople!$C$2:$C$11)</f>
        <v>EMEA</v>
      </c>
      <c r="G184" t="str">
        <f>_xlfn.XLOOKUP(C184,Salespeople!$A$2:$A$11,Salespeople!$D$2:$D$11)</f>
        <v>Portugal</v>
      </c>
      <c r="H184" s="3">
        <v>21</v>
      </c>
      <c r="I184" s="5">
        <f>_xlfn.XLOOKUP($D184,Products!$A$2:$A$16,Products!$D$2:$D$16)</f>
        <v>1150</v>
      </c>
      <c r="J184" s="5">
        <f>_xlfn.XLOOKUP(Sales!$D184,Products!$A$2:$A$16,Products!$E$2:$E$16)</f>
        <v>820</v>
      </c>
      <c r="K184" s="8" cm="1">
        <f t="array" ref="K184">_xlfn.IFS(H184&lt;=5,0%,H184&lt;=10,5%,H184&lt;=15,10%,H184&lt;=20,15%,H184&gt;20,20%)</f>
        <v>0.2</v>
      </c>
      <c r="L184" s="6">
        <f t="shared" si="6"/>
        <v>19320</v>
      </c>
      <c r="M184" s="6" cm="1">
        <f t="array" ref="M184">L184*_xlfn.IFS(L184&lt;=5000,0.02,L184&lt;=15000,0.04,L184&gt;15000,0.06)</f>
        <v>1159.2</v>
      </c>
      <c r="N184" s="6">
        <f t="shared" si="7"/>
        <v>2100</v>
      </c>
      <c r="O184" s="8">
        <f t="shared" si="8"/>
        <v>0.10869565217391304</v>
      </c>
    </row>
    <row r="185" spans="1:15" x14ac:dyDescent="0.45">
      <c r="A185" t="s">
        <v>267</v>
      </c>
      <c r="B185" s="4">
        <v>45547</v>
      </c>
      <c r="C185" t="s">
        <v>66</v>
      </c>
      <c r="D185" t="s">
        <v>62</v>
      </c>
      <c r="E185" t="s">
        <v>14</v>
      </c>
      <c r="F185" t="str">
        <f>_xlfn.XLOOKUP(C185,Salespeople!$A$2:$A$11,Salespeople!$C$2:$C$11)</f>
        <v>Americas</v>
      </c>
      <c r="G185" t="str">
        <f>_xlfn.XLOOKUP(C185,Salespeople!$A$2:$A$11,Salespeople!$D$2:$D$11)</f>
        <v>United States</v>
      </c>
      <c r="H185" s="3">
        <v>9</v>
      </c>
      <c r="I185" s="5">
        <f>_xlfn.XLOOKUP($D185,Products!$A$2:$A$16,Products!$D$2:$D$16)</f>
        <v>1750</v>
      </c>
      <c r="J185" s="5">
        <f>_xlfn.XLOOKUP(Sales!$D185,Products!$A$2:$A$16,Products!$E$2:$E$16)</f>
        <v>1300</v>
      </c>
      <c r="K185" s="8" cm="1">
        <f t="array" ref="K185">_xlfn.IFS(H185&lt;=5,0%,H185&lt;=10,5%,H185&lt;=15,10%,H185&lt;=20,15%,H185&gt;20,20%)</f>
        <v>0.05</v>
      </c>
      <c r="L185" s="6">
        <f t="shared" si="6"/>
        <v>14962.5</v>
      </c>
      <c r="M185" s="6" cm="1">
        <f t="array" ref="M185">L185*_xlfn.IFS(L185&lt;=5000,0.02,L185&lt;=15000,0.04,L185&gt;15000,0.06)</f>
        <v>598.5</v>
      </c>
      <c r="N185" s="6">
        <f t="shared" si="7"/>
        <v>3262.5</v>
      </c>
      <c r="O185" s="8">
        <f t="shared" si="8"/>
        <v>0.21804511278195488</v>
      </c>
    </row>
    <row r="186" spans="1:15" x14ac:dyDescent="0.45">
      <c r="A186" t="s">
        <v>268</v>
      </c>
      <c r="B186" s="4">
        <v>45539</v>
      </c>
      <c r="C186" t="s">
        <v>60</v>
      </c>
      <c r="D186" t="s">
        <v>88</v>
      </c>
      <c r="E186" t="s">
        <v>48</v>
      </c>
      <c r="F186" t="str">
        <f>_xlfn.XLOOKUP(C186,Salespeople!$A$2:$A$11,Salespeople!$C$2:$C$11)</f>
        <v>APAC</v>
      </c>
      <c r="G186" t="str">
        <f>_xlfn.XLOOKUP(C186,Salespeople!$A$2:$A$11,Salespeople!$D$2:$D$11)</f>
        <v>Japan</v>
      </c>
      <c r="H186" s="3">
        <v>18</v>
      </c>
      <c r="I186" s="5">
        <f>_xlfn.XLOOKUP($D186,Products!$A$2:$A$16,Products!$D$2:$D$16)</f>
        <v>35</v>
      </c>
      <c r="J186" s="5">
        <f>_xlfn.XLOOKUP(Sales!$D186,Products!$A$2:$A$16,Products!$E$2:$E$16)</f>
        <v>14</v>
      </c>
      <c r="K186" s="8" cm="1">
        <f t="array" ref="K186">_xlfn.IFS(H186&lt;=5,0%,H186&lt;=10,5%,H186&lt;=15,10%,H186&lt;=20,15%,H186&gt;20,20%)</f>
        <v>0.15</v>
      </c>
      <c r="L186" s="6">
        <f t="shared" si="6"/>
        <v>535.5</v>
      </c>
      <c r="M186" s="6" cm="1">
        <f t="array" ref="M186">L186*_xlfn.IFS(L186&lt;=5000,0.02,L186&lt;=15000,0.04,L186&gt;15000,0.06)</f>
        <v>10.71</v>
      </c>
      <c r="N186" s="6">
        <f t="shared" si="7"/>
        <v>283.5</v>
      </c>
      <c r="O186" s="8">
        <f t="shared" si="8"/>
        <v>0.52941176470588236</v>
      </c>
    </row>
    <row r="187" spans="1:15" x14ac:dyDescent="0.45">
      <c r="A187" t="s">
        <v>269</v>
      </c>
      <c r="B187" s="4">
        <v>45488</v>
      </c>
      <c r="C187" t="s">
        <v>51</v>
      </c>
      <c r="D187" t="s">
        <v>91</v>
      </c>
      <c r="E187" t="s">
        <v>14</v>
      </c>
      <c r="F187" t="str">
        <f>_xlfn.XLOOKUP(C187,Salespeople!$A$2:$A$11,Salespeople!$C$2:$C$11)</f>
        <v>Americas</v>
      </c>
      <c r="G187" t="str">
        <f>_xlfn.XLOOKUP(C187,Salespeople!$A$2:$A$11,Salespeople!$D$2:$D$11)</f>
        <v>Mexico</v>
      </c>
      <c r="H187" s="3">
        <v>17</v>
      </c>
      <c r="I187" s="5">
        <f>_xlfn.XLOOKUP($D187,Products!$A$2:$A$16,Products!$D$2:$D$16)</f>
        <v>160</v>
      </c>
      <c r="J187" s="5">
        <f>_xlfn.XLOOKUP(Sales!$D187,Products!$A$2:$A$16,Products!$E$2:$E$16)</f>
        <v>88</v>
      </c>
      <c r="K187" s="8" cm="1">
        <f t="array" ref="K187">_xlfn.IFS(H187&lt;=5,0%,H187&lt;=10,5%,H187&lt;=15,10%,H187&lt;=20,15%,H187&gt;20,20%)</f>
        <v>0.15</v>
      </c>
      <c r="L187" s="6">
        <f t="shared" si="6"/>
        <v>2312</v>
      </c>
      <c r="M187" s="6" cm="1">
        <f t="array" ref="M187">L187*_xlfn.IFS(L187&lt;=5000,0.02,L187&lt;=15000,0.04,L187&gt;15000,0.06)</f>
        <v>46.24</v>
      </c>
      <c r="N187" s="6">
        <f t="shared" si="7"/>
        <v>816</v>
      </c>
      <c r="O187" s="8">
        <f t="shared" si="8"/>
        <v>0.35294117647058826</v>
      </c>
    </row>
    <row r="188" spans="1:15" x14ac:dyDescent="0.45">
      <c r="A188" t="s">
        <v>270</v>
      </c>
      <c r="B188" s="4">
        <v>45327</v>
      </c>
      <c r="C188" t="s">
        <v>66</v>
      </c>
      <c r="D188" t="s">
        <v>53</v>
      </c>
      <c r="E188" t="s">
        <v>48</v>
      </c>
      <c r="F188" t="str">
        <f>_xlfn.XLOOKUP(C188,Salespeople!$A$2:$A$11,Salespeople!$C$2:$C$11)</f>
        <v>Americas</v>
      </c>
      <c r="G188" t="str">
        <f>_xlfn.XLOOKUP(C188,Salespeople!$A$2:$A$11,Salespeople!$D$2:$D$11)</f>
        <v>United States</v>
      </c>
      <c r="H188" s="3">
        <v>11</v>
      </c>
      <c r="I188" s="5">
        <f>_xlfn.XLOOKUP($D188,Products!$A$2:$A$16,Products!$D$2:$D$16)</f>
        <v>130</v>
      </c>
      <c r="J188" s="5">
        <f>_xlfn.XLOOKUP(Sales!$D188,Products!$A$2:$A$16,Products!$E$2:$E$16)</f>
        <v>62</v>
      </c>
      <c r="K188" s="8" cm="1">
        <f t="array" ref="K188">_xlfn.IFS(H188&lt;=5,0%,H188&lt;=10,5%,H188&lt;=15,10%,H188&lt;=20,15%,H188&gt;20,20%)</f>
        <v>0.1</v>
      </c>
      <c r="L188" s="6">
        <f t="shared" si="6"/>
        <v>1287</v>
      </c>
      <c r="M188" s="6" cm="1">
        <f t="array" ref="M188">L188*_xlfn.IFS(L188&lt;=5000,0.02,L188&lt;=15000,0.04,L188&gt;15000,0.06)</f>
        <v>25.740000000000002</v>
      </c>
      <c r="N188" s="6">
        <f t="shared" si="7"/>
        <v>605</v>
      </c>
      <c r="O188" s="8">
        <f t="shared" si="8"/>
        <v>0.47008547008547008</v>
      </c>
    </row>
    <row r="189" spans="1:15" x14ac:dyDescent="0.45">
      <c r="A189" t="s">
        <v>271</v>
      </c>
      <c r="B189" s="4">
        <v>45293</v>
      </c>
      <c r="C189" t="s">
        <v>66</v>
      </c>
      <c r="D189" t="s">
        <v>28</v>
      </c>
      <c r="E189" t="s">
        <v>48</v>
      </c>
      <c r="F189" t="str">
        <f>_xlfn.XLOOKUP(C189,Salespeople!$A$2:$A$11,Salespeople!$C$2:$C$11)</f>
        <v>Americas</v>
      </c>
      <c r="G189" t="str">
        <f>_xlfn.XLOOKUP(C189,Salespeople!$A$2:$A$11,Salespeople!$D$2:$D$11)</f>
        <v>United States</v>
      </c>
      <c r="H189" s="3">
        <v>19</v>
      </c>
      <c r="I189" s="5">
        <f>_xlfn.XLOOKUP($D189,Products!$A$2:$A$16,Products!$D$2:$D$16)</f>
        <v>95</v>
      </c>
      <c r="J189" s="5">
        <f>_xlfn.XLOOKUP(Sales!$D189,Products!$A$2:$A$16,Products!$E$2:$E$16)</f>
        <v>44</v>
      </c>
      <c r="K189" s="8" cm="1">
        <f t="array" ref="K189">_xlfn.IFS(H189&lt;=5,0%,H189&lt;=10,5%,H189&lt;=15,10%,H189&lt;=20,15%,H189&gt;20,20%)</f>
        <v>0.15</v>
      </c>
      <c r="L189" s="6">
        <f t="shared" si="6"/>
        <v>1534.25</v>
      </c>
      <c r="M189" s="6" cm="1">
        <f t="array" ref="M189">L189*_xlfn.IFS(L189&lt;=5000,0.02,L189&lt;=15000,0.04,L189&gt;15000,0.06)</f>
        <v>30.685000000000002</v>
      </c>
      <c r="N189" s="6">
        <f t="shared" si="7"/>
        <v>698.25</v>
      </c>
      <c r="O189" s="8">
        <f t="shared" si="8"/>
        <v>0.45510835913312692</v>
      </c>
    </row>
    <row r="190" spans="1:15" x14ac:dyDescent="0.45">
      <c r="A190" t="s">
        <v>272</v>
      </c>
      <c r="B190" s="4">
        <v>45368</v>
      </c>
      <c r="C190" t="s">
        <v>60</v>
      </c>
      <c r="D190" t="s">
        <v>62</v>
      </c>
      <c r="E190" t="s">
        <v>48</v>
      </c>
      <c r="F190" t="str">
        <f>_xlfn.XLOOKUP(C190,Salespeople!$A$2:$A$11,Salespeople!$C$2:$C$11)</f>
        <v>APAC</v>
      </c>
      <c r="G190" t="str">
        <f>_xlfn.XLOOKUP(C190,Salespeople!$A$2:$A$11,Salespeople!$D$2:$D$11)</f>
        <v>Japan</v>
      </c>
      <c r="H190" s="3">
        <v>12</v>
      </c>
      <c r="I190" s="5">
        <f>_xlfn.XLOOKUP($D190,Products!$A$2:$A$16,Products!$D$2:$D$16)</f>
        <v>1750</v>
      </c>
      <c r="J190" s="5">
        <f>_xlfn.XLOOKUP(Sales!$D190,Products!$A$2:$A$16,Products!$E$2:$E$16)</f>
        <v>1300</v>
      </c>
      <c r="K190" s="8" cm="1">
        <f t="array" ref="K190">_xlfn.IFS(H190&lt;=5,0%,H190&lt;=10,5%,H190&lt;=15,10%,H190&lt;=20,15%,H190&gt;20,20%)</f>
        <v>0.1</v>
      </c>
      <c r="L190" s="6">
        <f t="shared" si="6"/>
        <v>18900</v>
      </c>
      <c r="M190" s="6" cm="1">
        <f t="array" ref="M190">L190*_xlfn.IFS(L190&lt;=5000,0.02,L190&lt;=15000,0.04,L190&gt;15000,0.06)</f>
        <v>1134</v>
      </c>
      <c r="N190" s="6">
        <f t="shared" si="7"/>
        <v>3300</v>
      </c>
      <c r="O190" s="8">
        <f t="shared" si="8"/>
        <v>0.17460317460317459</v>
      </c>
    </row>
    <row r="191" spans="1:15" x14ac:dyDescent="0.45">
      <c r="A191" t="s">
        <v>273</v>
      </c>
      <c r="B191" s="4">
        <v>45574</v>
      </c>
      <c r="C191" t="s">
        <v>38</v>
      </c>
      <c r="D191" t="s">
        <v>44</v>
      </c>
      <c r="E191" t="s">
        <v>48</v>
      </c>
      <c r="F191" t="str">
        <f>_xlfn.XLOOKUP(C191,Salespeople!$A$2:$A$11,Salespeople!$C$2:$C$11)</f>
        <v>Americas</v>
      </c>
      <c r="G191" t="str">
        <f>_xlfn.XLOOKUP(C191,Salespeople!$A$2:$A$11,Salespeople!$D$2:$D$11)</f>
        <v>Brazil</v>
      </c>
      <c r="H191" s="3">
        <v>11</v>
      </c>
      <c r="I191" s="5">
        <f>_xlfn.XLOOKUP($D191,Products!$A$2:$A$16,Products!$D$2:$D$16)</f>
        <v>180</v>
      </c>
      <c r="J191" s="5">
        <f>_xlfn.XLOOKUP(Sales!$D191,Products!$A$2:$A$16,Products!$E$2:$E$16)</f>
        <v>105</v>
      </c>
      <c r="K191" s="8" cm="1">
        <f t="array" ref="K191">_xlfn.IFS(H191&lt;=5,0%,H191&lt;=10,5%,H191&lt;=15,10%,H191&lt;=20,15%,H191&gt;20,20%)</f>
        <v>0.1</v>
      </c>
      <c r="L191" s="6">
        <f t="shared" si="6"/>
        <v>1782</v>
      </c>
      <c r="M191" s="6" cm="1">
        <f t="array" ref="M191">L191*_xlfn.IFS(L191&lt;=5000,0.02,L191&lt;=15000,0.04,L191&gt;15000,0.06)</f>
        <v>35.64</v>
      </c>
      <c r="N191" s="6">
        <f t="shared" si="7"/>
        <v>627</v>
      </c>
      <c r="O191" s="8">
        <f t="shared" si="8"/>
        <v>0.35185185185185186</v>
      </c>
    </row>
    <row r="192" spans="1:15" x14ac:dyDescent="0.45">
      <c r="A192" t="s">
        <v>274</v>
      </c>
      <c r="B192" s="4">
        <v>45649</v>
      </c>
      <c r="C192" t="s">
        <v>51</v>
      </c>
      <c r="D192" t="s">
        <v>40</v>
      </c>
      <c r="E192" t="s">
        <v>48</v>
      </c>
      <c r="F192" t="str">
        <f>_xlfn.XLOOKUP(C192,Salespeople!$A$2:$A$11,Salespeople!$C$2:$C$11)</f>
        <v>Americas</v>
      </c>
      <c r="G192" t="str">
        <f>_xlfn.XLOOKUP(C192,Salespeople!$A$2:$A$11,Salespeople!$D$2:$D$11)</f>
        <v>Mexico</v>
      </c>
      <c r="H192" s="3">
        <v>8</v>
      </c>
      <c r="I192" s="5">
        <f>_xlfn.XLOOKUP($D192,Products!$A$2:$A$16,Products!$D$2:$D$16)</f>
        <v>1050</v>
      </c>
      <c r="J192" s="5">
        <f>_xlfn.XLOOKUP(Sales!$D192,Products!$A$2:$A$16,Products!$E$2:$E$16)</f>
        <v>760</v>
      </c>
      <c r="K192" s="8" cm="1">
        <f t="array" ref="K192">_xlfn.IFS(H192&lt;=5,0%,H192&lt;=10,5%,H192&lt;=15,10%,H192&lt;=20,15%,H192&gt;20,20%)</f>
        <v>0.05</v>
      </c>
      <c r="L192" s="6">
        <f t="shared" si="6"/>
        <v>7980</v>
      </c>
      <c r="M192" s="6" cm="1">
        <f t="array" ref="M192">L192*_xlfn.IFS(L192&lt;=5000,0.02,L192&lt;=15000,0.04,L192&gt;15000,0.06)</f>
        <v>319.2</v>
      </c>
      <c r="N192" s="6">
        <f t="shared" si="7"/>
        <v>1900</v>
      </c>
      <c r="O192" s="8">
        <f t="shared" si="8"/>
        <v>0.23809523809523808</v>
      </c>
    </row>
    <row r="193" spans="1:15" x14ac:dyDescent="0.45">
      <c r="A193" t="s">
        <v>275</v>
      </c>
      <c r="B193" s="4">
        <v>45314</v>
      </c>
      <c r="C193" t="s">
        <v>83</v>
      </c>
      <c r="D193" t="s">
        <v>28</v>
      </c>
      <c r="E193" t="s">
        <v>48</v>
      </c>
      <c r="F193" t="str">
        <f>_xlfn.XLOOKUP(C193,Salespeople!$A$2:$A$11,Salespeople!$C$2:$C$11)</f>
        <v>EMEA</v>
      </c>
      <c r="G193" t="str">
        <f>_xlfn.XLOOKUP(C193,Salespeople!$A$2:$A$11,Salespeople!$D$2:$D$11)</f>
        <v>United Arab Emirates</v>
      </c>
      <c r="H193" s="3">
        <v>23</v>
      </c>
      <c r="I193" s="5">
        <f>_xlfn.XLOOKUP($D193,Products!$A$2:$A$16,Products!$D$2:$D$16)</f>
        <v>95</v>
      </c>
      <c r="J193" s="5">
        <f>_xlfn.XLOOKUP(Sales!$D193,Products!$A$2:$A$16,Products!$E$2:$E$16)</f>
        <v>44</v>
      </c>
      <c r="K193" s="8" cm="1">
        <f t="array" ref="K193">_xlfn.IFS(H193&lt;=5,0%,H193&lt;=10,5%,H193&lt;=15,10%,H193&lt;=20,15%,H193&gt;20,20%)</f>
        <v>0.2</v>
      </c>
      <c r="L193" s="6">
        <f t="shared" si="6"/>
        <v>1748</v>
      </c>
      <c r="M193" s="6" cm="1">
        <f t="array" ref="M193">L193*_xlfn.IFS(L193&lt;=5000,0.02,L193&lt;=15000,0.04,L193&gt;15000,0.06)</f>
        <v>34.96</v>
      </c>
      <c r="N193" s="6">
        <f t="shared" si="7"/>
        <v>736</v>
      </c>
      <c r="O193" s="8">
        <f t="shared" si="8"/>
        <v>0.42105263157894735</v>
      </c>
    </row>
    <row r="194" spans="1:15" x14ac:dyDescent="0.45">
      <c r="A194" t="s">
        <v>276</v>
      </c>
      <c r="B194" s="4">
        <v>45489</v>
      </c>
      <c r="C194" t="s">
        <v>26</v>
      </c>
      <c r="D194" t="s">
        <v>103</v>
      </c>
      <c r="E194" t="s">
        <v>23</v>
      </c>
      <c r="F194" t="str">
        <f>_xlfn.XLOOKUP(C194,Salespeople!$A$2:$A$11,Salespeople!$C$2:$C$11)</f>
        <v>APAC</v>
      </c>
      <c r="G194" t="str">
        <f>_xlfn.XLOOKUP(C194,Salespeople!$A$2:$A$11,Salespeople!$D$2:$D$11)</f>
        <v>Singapore</v>
      </c>
      <c r="H194" s="3">
        <v>5</v>
      </c>
      <c r="I194" s="5">
        <f>_xlfn.XLOOKUP($D194,Products!$A$2:$A$16,Products!$D$2:$D$16)</f>
        <v>1150</v>
      </c>
      <c r="J194" s="5">
        <f>_xlfn.XLOOKUP(Sales!$D194,Products!$A$2:$A$16,Products!$E$2:$E$16)</f>
        <v>820</v>
      </c>
      <c r="K194" s="8" cm="1">
        <f t="array" ref="K194">_xlfn.IFS(H194&lt;=5,0%,H194&lt;=10,5%,H194&lt;=15,10%,H194&lt;=20,15%,H194&gt;20,20%)</f>
        <v>0</v>
      </c>
      <c r="L194" s="6">
        <f t="shared" si="6"/>
        <v>5750</v>
      </c>
      <c r="M194" s="6" cm="1">
        <f t="array" ref="M194">L194*_xlfn.IFS(L194&lt;=5000,0.02,L194&lt;=15000,0.04,L194&gt;15000,0.06)</f>
        <v>230</v>
      </c>
      <c r="N194" s="6">
        <f t="shared" si="7"/>
        <v>1650</v>
      </c>
      <c r="O194" s="8">
        <f t="shared" si="8"/>
        <v>0.28695652173913044</v>
      </c>
    </row>
    <row r="195" spans="1:15" x14ac:dyDescent="0.45">
      <c r="A195" t="s">
        <v>277</v>
      </c>
      <c r="B195" s="4">
        <v>45343</v>
      </c>
      <c r="C195" t="s">
        <v>60</v>
      </c>
      <c r="D195" t="s">
        <v>134</v>
      </c>
      <c r="E195" t="s">
        <v>14</v>
      </c>
      <c r="F195" t="str">
        <f>_xlfn.XLOOKUP(C195,Salespeople!$A$2:$A$11,Salespeople!$C$2:$C$11)</f>
        <v>APAC</v>
      </c>
      <c r="G195" t="str">
        <f>_xlfn.XLOOKUP(C195,Salespeople!$A$2:$A$11,Salespeople!$D$2:$D$11)</f>
        <v>Japan</v>
      </c>
      <c r="H195" s="3">
        <v>15</v>
      </c>
      <c r="I195" s="5">
        <f>_xlfn.XLOOKUP($D195,Products!$A$2:$A$16,Products!$D$2:$D$16)</f>
        <v>79</v>
      </c>
      <c r="J195" s="5">
        <f>_xlfn.XLOOKUP(Sales!$D195,Products!$A$2:$A$16,Products!$E$2:$E$16)</f>
        <v>38</v>
      </c>
      <c r="K195" s="8" cm="1">
        <f t="array" ref="K195">_xlfn.IFS(H195&lt;=5,0%,H195&lt;=10,5%,H195&lt;=15,10%,H195&lt;=20,15%,H195&gt;20,20%)</f>
        <v>0.1</v>
      </c>
      <c r="L195" s="6">
        <f t="shared" ref="L195:L201" si="9">H195*I195*(1-K195)</f>
        <v>1066.5</v>
      </c>
      <c r="M195" s="6" cm="1">
        <f t="array" ref="M195">L195*_xlfn.IFS(L195&lt;=5000,0.02,L195&lt;=15000,0.04,L195&gt;15000,0.06)</f>
        <v>21.330000000000002</v>
      </c>
      <c r="N195" s="6">
        <f t="shared" ref="N195:N201" si="10">L195-(H195*J195)</f>
        <v>496.5</v>
      </c>
      <c r="O195" s="8">
        <f t="shared" ref="O195:O201" si="11">N195/L195</f>
        <v>0.46554149085794655</v>
      </c>
    </row>
    <row r="196" spans="1:15" x14ac:dyDescent="0.45">
      <c r="A196" t="s">
        <v>278</v>
      </c>
      <c r="B196" s="4">
        <v>45365</v>
      </c>
      <c r="C196" t="s">
        <v>33</v>
      </c>
      <c r="D196" t="s">
        <v>68</v>
      </c>
      <c r="E196" t="s">
        <v>14</v>
      </c>
      <c r="F196" t="str">
        <f>_xlfn.XLOOKUP(C196,Salespeople!$A$2:$A$11,Salespeople!$C$2:$C$11)</f>
        <v>EMEA</v>
      </c>
      <c r="G196" t="str">
        <f>_xlfn.XLOOKUP(C196,Salespeople!$A$2:$A$11,Salespeople!$D$2:$D$11)</f>
        <v>Kenya</v>
      </c>
      <c r="H196" s="3">
        <v>5</v>
      </c>
      <c r="I196" s="5">
        <f>_xlfn.XLOOKUP($D196,Products!$A$2:$A$16,Products!$D$2:$D$16)</f>
        <v>110</v>
      </c>
      <c r="J196" s="5">
        <f>_xlfn.XLOOKUP(Sales!$D196,Products!$A$2:$A$16,Products!$E$2:$E$16)</f>
        <v>55</v>
      </c>
      <c r="K196" s="8" cm="1">
        <f t="array" ref="K196">_xlfn.IFS(H196&lt;=5,0%,H196&lt;=10,5%,H196&lt;=15,10%,H196&lt;=20,15%,H196&gt;20,20%)</f>
        <v>0</v>
      </c>
      <c r="L196" s="6">
        <f t="shared" si="9"/>
        <v>550</v>
      </c>
      <c r="M196" s="6" cm="1">
        <f t="array" ref="M196">L196*_xlfn.IFS(L196&lt;=5000,0.02,L196&lt;=15000,0.04,L196&gt;15000,0.06)</f>
        <v>11</v>
      </c>
      <c r="N196" s="6">
        <f t="shared" si="10"/>
        <v>275</v>
      </c>
      <c r="O196" s="8">
        <f t="shared" si="11"/>
        <v>0.5</v>
      </c>
    </row>
    <row r="197" spans="1:15" x14ac:dyDescent="0.45">
      <c r="A197" t="s">
        <v>279</v>
      </c>
      <c r="B197" s="4">
        <v>45532</v>
      </c>
      <c r="C197" t="s">
        <v>66</v>
      </c>
      <c r="D197" t="s">
        <v>56</v>
      </c>
      <c r="E197" t="s">
        <v>14</v>
      </c>
      <c r="F197" t="str">
        <f>_xlfn.XLOOKUP(C197,Salespeople!$A$2:$A$11,Salespeople!$C$2:$C$11)</f>
        <v>Americas</v>
      </c>
      <c r="G197" t="str">
        <f>_xlfn.XLOOKUP(C197,Salespeople!$A$2:$A$11,Salespeople!$D$2:$D$11)</f>
        <v>United States</v>
      </c>
      <c r="H197" s="3">
        <v>23</v>
      </c>
      <c r="I197" s="5">
        <f>_xlfn.XLOOKUP($D197,Products!$A$2:$A$16,Products!$D$2:$D$16)</f>
        <v>520</v>
      </c>
      <c r="J197" s="5">
        <f>_xlfn.XLOOKUP(Sales!$D197,Products!$A$2:$A$16,Products!$E$2:$E$16)</f>
        <v>360</v>
      </c>
      <c r="K197" s="8" cm="1">
        <f t="array" ref="K197">_xlfn.IFS(H197&lt;=5,0%,H197&lt;=10,5%,H197&lt;=15,10%,H197&lt;=20,15%,H197&gt;20,20%)</f>
        <v>0.2</v>
      </c>
      <c r="L197" s="6">
        <f t="shared" si="9"/>
        <v>9568</v>
      </c>
      <c r="M197" s="6" cm="1">
        <f t="array" ref="M197">L197*_xlfn.IFS(L197&lt;=5000,0.02,L197&lt;=15000,0.04,L197&gt;15000,0.06)</f>
        <v>382.72</v>
      </c>
      <c r="N197" s="6">
        <f t="shared" si="10"/>
        <v>1288</v>
      </c>
      <c r="O197" s="8">
        <f t="shared" si="11"/>
        <v>0.13461538461538461</v>
      </c>
    </row>
    <row r="198" spans="1:15" x14ac:dyDescent="0.45">
      <c r="A198" t="s">
        <v>280</v>
      </c>
      <c r="B198" s="4">
        <v>45624</v>
      </c>
      <c r="C198" t="s">
        <v>17</v>
      </c>
      <c r="D198" t="s">
        <v>68</v>
      </c>
      <c r="E198" t="s">
        <v>48</v>
      </c>
      <c r="F198" t="str">
        <f>_xlfn.XLOOKUP(C198,Salespeople!$A$2:$A$11,Salespeople!$C$2:$C$11)</f>
        <v>EMEA</v>
      </c>
      <c r="G198" t="str">
        <f>_xlfn.XLOOKUP(C198,Salespeople!$A$2:$A$11,Salespeople!$D$2:$D$11)</f>
        <v>Portugal</v>
      </c>
      <c r="H198" s="3">
        <v>22</v>
      </c>
      <c r="I198" s="5">
        <f>_xlfn.XLOOKUP($D198,Products!$A$2:$A$16,Products!$D$2:$D$16)</f>
        <v>110</v>
      </c>
      <c r="J198" s="5">
        <f>_xlfn.XLOOKUP(Sales!$D198,Products!$A$2:$A$16,Products!$E$2:$E$16)</f>
        <v>55</v>
      </c>
      <c r="K198" s="8" cm="1">
        <f t="array" ref="K198">_xlfn.IFS(H198&lt;=5,0%,H198&lt;=10,5%,H198&lt;=15,10%,H198&lt;=20,15%,H198&gt;20,20%)</f>
        <v>0.2</v>
      </c>
      <c r="L198" s="6">
        <f t="shared" si="9"/>
        <v>1936</v>
      </c>
      <c r="M198" s="6" cm="1">
        <f t="array" ref="M198">L198*_xlfn.IFS(L198&lt;=5000,0.02,L198&lt;=15000,0.04,L198&gt;15000,0.06)</f>
        <v>38.72</v>
      </c>
      <c r="N198" s="6">
        <f t="shared" si="10"/>
        <v>726</v>
      </c>
      <c r="O198" s="8">
        <f t="shared" si="11"/>
        <v>0.375</v>
      </c>
    </row>
    <row r="199" spans="1:15" x14ac:dyDescent="0.45">
      <c r="A199" t="s">
        <v>281</v>
      </c>
      <c r="B199" s="4">
        <v>45454</v>
      </c>
      <c r="C199" t="s">
        <v>60</v>
      </c>
      <c r="D199" t="s">
        <v>68</v>
      </c>
      <c r="E199" t="s">
        <v>14</v>
      </c>
      <c r="F199" t="str">
        <f>_xlfn.XLOOKUP(C199,Salespeople!$A$2:$A$11,Salespeople!$C$2:$C$11)</f>
        <v>APAC</v>
      </c>
      <c r="G199" t="str">
        <f>_xlfn.XLOOKUP(C199,Salespeople!$A$2:$A$11,Salespeople!$D$2:$D$11)</f>
        <v>Japan</v>
      </c>
      <c r="H199" s="3">
        <v>2</v>
      </c>
      <c r="I199" s="5">
        <f>_xlfn.XLOOKUP($D199,Products!$A$2:$A$16,Products!$D$2:$D$16)</f>
        <v>110</v>
      </c>
      <c r="J199" s="5">
        <f>_xlfn.XLOOKUP(Sales!$D199,Products!$A$2:$A$16,Products!$E$2:$E$16)</f>
        <v>55</v>
      </c>
      <c r="K199" s="8" cm="1">
        <f t="array" ref="K199">_xlfn.IFS(H199&lt;=5,0%,H199&lt;=10,5%,H199&lt;=15,10%,H199&lt;=20,15%,H199&gt;20,20%)</f>
        <v>0</v>
      </c>
      <c r="L199" s="6">
        <f t="shared" si="9"/>
        <v>220</v>
      </c>
      <c r="M199" s="6" cm="1">
        <f t="array" ref="M199">L199*_xlfn.IFS(L199&lt;=5000,0.02,L199&lt;=15000,0.04,L199&gt;15000,0.06)</f>
        <v>4.4000000000000004</v>
      </c>
      <c r="N199" s="6">
        <f t="shared" si="10"/>
        <v>110</v>
      </c>
      <c r="O199" s="8">
        <f t="shared" si="11"/>
        <v>0.5</v>
      </c>
    </row>
    <row r="200" spans="1:15" x14ac:dyDescent="0.45">
      <c r="A200" t="s">
        <v>282</v>
      </c>
      <c r="B200" s="4">
        <v>45412</v>
      </c>
      <c r="C200" t="s">
        <v>66</v>
      </c>
      <c r="D200" t="s">
        <v>88</v>
      </c>
      <c r="E200" t="s">
        <v>14</v>
      </c>
      <c r="F200" t="str">
        <f>_xlfn.XLOOKUP(C200,Salespeople!$A$2:$A$11,Salespeople!$C$2:$C$11)</f>
        <v>Americas</v>
      </c>
      <c r="G200" t="str">
        <f>_xlfn.XLOOKUP(C200,Salespeople!$A$2:$A$11,Salespeople!$D$2:$D$11)</f>
        <v>United States</v>
      </c>
      <c r="H200" s="3">
        <v>3</v>
      </c>
      <c r="I200" s="5">
        <f>_xlfn.XLOOKUP($D200,Products!$A$2:$A$16,Products!$D$2:$D$16)</f>
        <v>35</v>
      </c>
      <c r="J200" s="5">
        <f>_xlfn.XLOOKUP(Sales!$D200,Products!$A$2:$A$16,Products!$E$2:$E$16)</f>
        <v>14</v>
      </c>
      <c r="K200" s="8" cm="1">
        <f t="array" ref="K200">_xlfn.IFS(H200&lt;=5,0%,H200&lt;=10,5%,H200&lt;=15,10%,H200&lt;=20,15%,H200&gt;20,20%)</f>
        <v>0</v>
      </c>
      <c r="L200" s="6">
        <f t="shared" si="9"/>
        <v>105</v>
      </c>
      <c r="M200" s="6" cm="1">
        <f t="array" ref="M200">L200*_xlfn.IFS(L200&lt;=5000,0.02,L200&lt;=15000,0.04,L200&gt;15000,0.06)</f>
        <v>2.1</v>
      </c>
      <c r="N200" s="6">
        <f t="shared" si="10"/>
        <v>63</v>
      </c>
      <c r="O200" s="8">
        <f t="shared" si="11"/>
        <v>0.6</v>
      </c>
    </row>
    <row r="201" spans="1:15" x14ac:dyDescent="0.45">
      <c r="A201" t="s">
        <v>283</v>
      </c>
      <c r="B201" s="4">
        <v>45342</v>
      </c>
      <c r="C201" t="s">
        <v>17</v>
      </c>
      <c r="D201" t="s">
        <v>103</v>
      </c>
      <c r="E201" t="s">
        <v>23</v>
      </c>
      <c r="F201" t="str">
        <f>_xlfn.XLOOKUP(C201,Salespeople!$A$2:$A$11,Salespeople!$C$2:$C$11)</f>
        <v>EMEA</v>
      </c>
      <c r="G201" t="str">
        <f>_xlfn.XLOOKUP(C201,Salespeople!$A$2:$A$11,Salespeople!$D$2:$D$11)</f>
        <v>Portugal</v>
      </c>
      <c r="H201" s="3">
        <v>23</v>
      </c>
      <c r="I201" s="5">
        <f>_xlfn.XLOOKUP($D201,Products!$A$2:$A$16,Products!$D$2:$D$16)</f>
        <v>1150</v>
      </c>
      <c r="J201" s="5">
        <f>_xlfn.XLOOKUP(Sales!$D201,Products!$A$2:$A$16,Products!$E$2:$E$16)</f>
        <v>820</v>
      </c>
      <c r="K201" s="8" cm="1">
        <f t="array" ref="K201">_xlfn.IFS(H201&lt;=5,0%,H201&lt;=10,5%,H201&lt;=15,10%,H201&lt;=20,15%,H201&gt;20,20%)</f>
        <v>0.2</v>
      </c>
      <c r="L201" s="6">
        <f t="shared" si="9"/>
        <v>21160</v>
      </c>
      <c r="M201" s="6" cm="1">
        <f t="array" ref="M201">L201*_xlfn.IFS(L201&lt;=5000,0.02,L201&lt;=15000,0.04,L201&gt;15000,0.06)</f>
        <v>1269.5999999999999</v>
      </c>
      <c r="N201" s="6">
        <f t="shared" si="10"/>
        <v>2300</v>
      </c>
      <c r="O201" s="8">
        <f t="shared" si="11"/>
        <v>0.10869565217391304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BCD9A-7B15-4504-9A72-129FE405EA4F}">
  <dimension ref="A1:O202"/>
  <sheetViews>
    <sheetView tabSelected="1" topLeftCell="A181" workbookViewId="0">
      <selection activeCell="L203" sqref="L203"/>
    </sheetView>
  </sheetViews>
  <sheetFormatPr defaultRowHeight="14.25" x14ac:dyDescent="0.45"/>
  <cols>
    <col min="1" max="1" width="9.86328125" bestFit="1" customWidth="1"/>
    <col min="2" max="2" width="11.1328125" style="4" customWidth="1"/>
    <col min="3" max="3" width="14.1328125" customWidth="1"/>
    <col min="4" max="4" width="10.6640625" customWidth="1"/>
    <col min="5" max="5" width="9.19921875" customWidth="1"/>
    <col min="8" max="8" width="9.73046875" customWidth="1"/>
    <col min="9" max="9" width="16.46484375" style="5" customWidth="1"/>
    <col min="10" max="10" width="10.265625" style="5" customWidth="1"/>
    <col min="11" max="11" width="10.33203125" style="8" customWidth="1"/>
    <col min="12" max="12" width="10.265625" style="5" customWidth="1"/>
    <col min="13" max="13" width="13.3984375" style="5" customWidth="1"/>
    <col min="14" max="14" width="9.06640625" style="5"/>
    <col min="15" max="15" width="13.86328125" style="8" customWidth="1"/>
  </cols>
  <sheetData>
    <row r="1" spans="1:15" s="1" customFormat="1" x14ac:dyDescent="0.45">
      <c r="A1" s="1" t="s">
        <v>0</v>
      </c>
      <c r="B1" s="11" t="s">
        <v>1</v>
      </c>
      <c r="C1" s="1" t="s">
        <v>5</v>
      </c>
      <c r="D1" s="1" t="s">
        <v>7</v>
      </c>
      <c r="E1" s="1" t="s">
        <v>2</v>
      </c>
      <c r="F1" s="1" t="s">
        <v>3</v>
      </c>
      <c r="G1" s="1" t="s">
        <v>4</v>
      </c>
      <c r="H1" s="1" t="s">
        <v>10</v>
      </c>
      <c r="I1" s="12" t="s">
        <v>11</v>
      </c>
      <c r="J1" s="12" t="s">
        <v>12</v>
      </c>
      <c r="K1" s="13" t="s">
        <v>284</v>
      </c>
      <c r="L1" s="12" t="s">
        <v>285</v>
      </c>
      <c r="M1" s="12" t="s">
        <v>286</v>
      </c>
      <c r="N1" s="12" t="s">
        <v>287</v>
      </c>
      <c r="O1" s="13" t="s">
        <v>288</v>
      </c>
    </row>
    <row r="2" spans="1:15" x14ac:dyDescent="0.45">
      <c r="A2" t="s">
        <v>13</v>
      </c>
      <c r="B2" s="4">
        <v>45619</v>
      </c>
      <c r="C2" t="s">
        <v>17</v>
      </c>
      <c r="D2" t="s">
        <v>19</v>
      </c>
      <c r="E2" t="s">
        <v>14</v>
      </c>
      <c r="F2" t="str">
        <f>_xlfn.XLOOKUP(C2,Salespeople!$A$2:$A$11,Salespeople!$C$2:$C$11)</f>
        <v>EMEA</v>
      </c>
      <c r="G2" t="str">
        <f>_xlfn.XLOOKUP(C2,Salespeople!$A$2:$A$11,Salespeople!$D$2:$D$11)</f>
        <v>Portugal</v>
      </c>
      <c r="H2">
        <v>9</v>
      </c>
      <c r="I2" s="5">
        <f>_xlfn.XLOOKUP($D2,Products!$A$2:$A$16,Products!$D$2:$D$16)</f>
        <v>25</v>
      </c>
      <c r="J2" s="5">
        <f>_xlfn.XLOOKUP(Sales!$D2,Products!$A$2:$A$16,Products!$E$2:$E$16)</f>
        <v>11</v>
      </c>
      <c r="K2" s="8" cm="1">
        <f t="array" ref="K2">_xlfn.IFS(H2&lt;=5,0%,H2&lt;=10,5%,H2&lt;=15,10%,H2&lt;=20,15%,H2&gt;20,20%)</f>
        <v>0.05</v>
      </c>
      <c r="L2" s="5">
        <f>H2*I2*(1-K2)</f>
        <v>213.75</v>
      </c>
      <c r="M2" s="5" cm="1">
        <f t="array" ref="M2">L2*_xlfn.IFS(L2&lt;=5000,0.02,L2&lt;=15000,0.04,L2&gt;15000,0.06)</f>
        <v>4.2750000000000004</v>
      </c>
      <c r="N2" s="5">
        <f>L2-(H2*J2)</f>
        <v>114.75</v>
      </c>
      <c r="O2" s="8">
        <f>N2/L2</f>
        <v>0.5368421052631579</v>
      </c>
    </row>
    <row r="3" spans="1:15" x14ac:dyDescent="0.45">
      <c r="A3" t="s">
        <v>22</v>
      </c>
      <c r="B3" s="4">
        <v>45406</v>
      </c>
      <c r="C3" t="s">
        <v>26</v>
      </c>
      <c r="D3" t="s">
        <v>28</v>
      </c>
      <c r="E3" t="s">
        <v>23</v>
      </c>
      <c r="F3" t="str">
        <f>_xlfn.XLOOKUP(C3,Salespeople!$A$2:$A$11,Salespeople!$C$2:$C$11)</f>
        <v>APAC</v>
      </c>
      <c r="G3" t="str">
        <f>_xlfn.XLOOKUP(C3,Salespeople!$A$2:$A$11,Salespeople!$D$2:$D$11)</f>
        <v>Singapore</v>
      </c>
      <c r="H3">
        <v>22</v>
      </c>
      <c r="I3" s="5">
        <f>_xlfn.XLOOKUP($D3,Products!$A$2:$A$16,Products!$D$2:$D$16)</f>
        <v>95</v>
      </c>
      <c r="J3" s="5">
        <f>_xlfn.XLOOKUP(Sales!$D3,Products!$A$2:$A$16,Products!$E$2:$E$16)</f>
        <v>44</v>
      </c>
      <c r="K3" s="8" cm="1">
        <f t="array" ref="K3">_xlfn.IFS(H3&lt;=5,0%,H3&lt;=10,5%,H3&lt;=15,10%,H3&lt;=20,15%,H3&gt;20,20%)</f>
        <v>0.2</v>
      </c>
      <c r="L3" s="5">
        <f t="shared" ref="L3:L66" si="0">H3*I3*(1-K3)</f>
        <v>1672</v>
      </c>
      <c r="M3" s="5" cm="1">
        <f t="array" ref="M3">L3*_xlfn.IFS(L3&lt;=5000,0.02,L3&lt;=15000,0.04,L3&gt;15000,0.06)</f>
        <v>33.44</v>
      </c>
      <c r="N3" s="5">
        <f t="shared" ref="N3:N66" si="1">L3-(H3*J3)</f>
        <v>704</v>
      </c>
      <c r="O3" s="8">
        <f t="shared" ref="O3:O66" si="2">N3/L3</f>
        <v>0.42105263157894735</v>
      </c>
    </row>
    <row r="4" spans="1:15" x14ac:dyDescent="0.45">
      <c r="A4" t="s">
        <v>31</v>
      </c>
      <c r="B4" s="4">
        <v>45594</v>
      </c>
      <c r="C4" t="s">
        <v>33</v>
      </c>
      <c r="D4" t="s">
        <v>19</v>
      </c>
      <c r="E4" t="s">
        <v>23</v>
      </c>
      <c r="F4" t="str">
        <f>_xlfn.XLOOKUP(C4,Salespeople!$A$2:$A$11,Salespeople!$C$2:$C$11)</f>
        <v>EMEA</v>
      </c>
      <c r="G4" t="str">
        <f>_xlfn.XLOOKUP(C4,Salespeople!$A$2:$A$11,Salespeople!$D$2:$D$11)</f>
        <v>Kenya</v>
      </c>
      <c r="H4">
        <v>3</v>
      </c>
      <c r="I4" s="5">
        <f>_xlfn.XLOOKUP($D4,Products!$A$2:$A$16,Products!$D$2:$D$16)</f>
        <v>25</v>
      </c>
      <c r="J4" s="5">
        <f>_xlfn.XLOOKUP(Sales!$D4,Products!$A$2:$A$16,Products!$E$2:$E$16)</f>
        <v>11</v>
      </c>
      <c r="K4" s="8" cm="1">
        <f t="array" ref="K4">_xlfn.IFS(H4&lt;=5,0%,H4&lt;=10,5%,H4&lt;=15,10%,H4&lt;=20,15%,H4&gt;20,20%)</f>
        <v>0</v>
      </c>
      <c r="L4" s="5">
        <f t="shared" si="0"/>
        <v>75</v>
      </c>
      <c r="M4" s="5" cm="1">
        <f t="array" ref="M4">L4*_xlfn.IFS(L4&lt;=5000,0.02,L4&lt;=15000,0.04,L4&gt;15000,0.06)</f>
        <v>1.5</v>
      </c>
      <c r="N4" s="5">
        <f t="shared" si="1"/>
        <v>42</v>
      </c>
      <c r="O4" s="8">
        <f t="shared" si="2"/>
        <v>0.56000000000000005</v>
      </c>
    </row>
    <row r="5" spans="1:15" x14ac:dyDescent="0.45">
      <c r="A5" t="s">
        <v>35</v>
      </c>
      <c r="B5" s="4">
        <v>45411</v>
      </c>
      <c r="C5" t="s">
        <v>38</v>
      </c>
      <c r="D5" t="s">
        <v>40</v>
      </c>
      <c r="E5" t="s">
        <v>23</v>
      </c>
      <c r="F5" t="str">
        <f>_xlfn.XLOOKUP(C5,Salespeople!$A$2:$A$11,Salespeople!$C$2:$C$11)</f>
        <v>Americas</v>
      </c>
      <c r="G5" t="str">
        <f>_xlfn.XLOOKUP(C5,Salespeople!$A$2:$A$11,Salespeople!$D$2:$D$11)</f>
        <v>Brazil</v>
      </c>
      <c r="H5">
        <v>18</v>
      </c>
      <c r="I5" s="5">
        <f>_xlfn.XLOOKUP($D5,Products!$A$2:$A$16,Products!$D$2:$D$16)</f>
        <v>1050</v>
      </c>
      <c r="J5" s="5">
        <f>_xlfn.XLOOKUP(Sales!$D5,Products!$A$2:$A$16,Products!$E$2:$E$16)</f>
        <v>760</v>
      </c>
      <c r="K5" s="8" cm="1">
        <f t="array" ref="K5">_xlfn.IFS(H5&lt;=5,0%,H5&lt;=10,5%,H5&lt;=15,10%,H5&lt;=20,15%,H5&gt;20,20%)</f>
        <v>0.15</v>
      </c>
      <c r="L5" s="5">
        <f t="shared" si="0"/>
        <v>16065</v>
      </c>
      <c r="M5" s="5" cm="1">
        <f t="array" ref="M5">L5*_xlfn.IFS(L5&lt;=5000,0.02,L5&lt;=15000,0.04,L5&gt;15000,0.06)</f>
        <v>963.9</v>
      </c>
      <c r="N5" s="5">
        <f t="shared" si="1"/>
        <v>2385</v>
      </c>
      <c r="O5" s="8">
        <f t="shared" si="2"/>
        <v>0.1484593837535014</v>
      </c>
    </row>
    <row r="6" spans="1:15" x14ac:dyDescent="0.45">
      <c r="A6" t="s">
        <v>43</v>
      </c>
      <c r="B6" s="4">
        <v>45624</v>
      </c>
      <c r="C6" t="s">
        <v>38</v>
      </c>
      <c r="D6" t="s">
        <v>44</v>
      </c>
      <c r="E6" t="s">
        <v>23</v>
      </c>
      <c r="F6" t="str">
        <f>_xlfn.XLOOKUP(C6,Salespeople!$A$2:$A$11,Salespeople!$C$2:$C$11)</f>
        <v>Americas</v>
      </c>
      <c r="G6" t="str">
        <f>_xlfn.XLOOKUP(C6,Salespeople!$A$2:$A$11,Salespeople!$D$2:$D$11)</f>
        <v>Brazil</v>
      </c>
      <c r="H6">
        <v>15</v>
      </c>
      <c r="I6" s="5">
        <f>_xlfn.XLOOKUP($D6,Products!$A$2:$A$16,Products!$D$2:$D$16)</f>
        <v>180</v>
      </c>
      <c r="J6" s="5">
        <f>_xlfn.XLOOKUP(Sales!$D6,Products!$A$2:$A$16,Products!$E$2:$E$16)</f>
        <v>105</v>
      </c>
      <c r="K6" s="8" cm="1">
        <f t="array" ref="K6">_xlfn.IFS(H6&lt;=5,0%,H6&lt;=10,5%,H6&lt;=15,10%,H6&lt;=20,15%,H6&gt;20,20%)</f>
        <v>0.1</v>
      </c>
      <c r="L6" s="5">
        <f t="shared" si="0"/>
        <v>2430</v>
      </c>
      <c r="M6" s="5" cm="1">
        <f t="array" ref="M6">L6*_xlfn.IFS(L6&lt;=5000,0.02,L6&lt;=15000,0.04,L6&gt;15000,0.06)</f>
        <v>48.6</v>
      </c>
      <c r="N6" s="5">
        <f t="shared" si="1"/>
        <v>855</v>
      </c>
      <c r="O6" s="8">
        <f t="shared" si="2"/>
        <v>0.35185185185185186</v>
      </c>
    </row>
    <row r="7" spans="1:15" x14ac:dyDescent="0.45">
      <c r="A7" t="s">
        <v>47</v>
      </c>
      <c r="B7" s="4">
        <v>45295</v>
      </c>
      <c r="C7" t="s">
        <v>26</v>
      </c>
      <c r="D7" t="s">
        <v>28</v>
      </c>
      <c r="E7" t="s">
        <v>48</v>
      </c>
      <c r="F7" t="str">
        <f>_xlfn.XLOOKUP(C7,Salespeople!$A$2:$A$11,Salespeople!$C$2:$C$11)</f>
        <v>APAC</v>
      </c>
      <c r="G7" t="str">
        <f>_xlfn.XLOOKUP(C7,Salespeople!$A$2:$A$11,Salespeople!$D$2:$D$11)</f>
        <v>Singapore</v>
      </c>
      <c r="H7">
        <v>11</v>
      </c>
      <c r="I7" s="5">
        <f>_xlfn.XLOOKUP($D7,Products!$A$2:$A$16,Products!$D$2:$D$16)</f>
        <v>95</v>
      </c>
      <c r="J7" s="5">
        <f>_xlfn.XLOOKUP(Sales!$D7,Products!$A$2:$A$16,Products!$E$2:$E$16)</f>
        <v>44</v>
      </c>
      <c r="K7" s="8" cm="1">
        <f t="array" ref="K7">_xlfn.IFS(H7&lt;=5,0%,H7&lt;=10,5%,H7&lt;=15,10%,H7&lt;=20,15%,H7&gt;20,20%)</f>
        <v>0.1</v>
      </c>
      <c r="L7" s="5">
        <f t="shared" si="0"/>
        <v>940.5</v>
      </c>
      <c r="M7" s="5" cm="1">
        <f t="array" ref="M7">L7*_xlfn.IFS(L7&lt;=5000,0.02,L7&lt;=15000,0.04,L7&gt;15000,0.06)</f>
        <v>18.809999999999999</v>
      </c>
      <c r="N7" s="5">
        <f t="shared" si="1"/>
        <v>456.5</v>
      </c>
      <c r="O7" s="8">
        <f t="shared" si="2"/>
        <v>0.4853801169590643</v>
      </c>
    </row>
    <row r="8" spans="1:15" x14ac:dyDescent="0.45">
      <c r="A8" t="s">
        <v>49</v>
      </c>
      <c r="B8" s="4">
        <v>45371</v>
      </c>
      <c r="C8" t="s">
        <v>51</v>
      </c>
      <c r="D8" t="s">
        <v>53</v>
      </c>
      <c r="E8" t="s">
        <v>48</v>
      </c>
      <c r="F8" t="str">
        <f>_xlfn.XLOOKUP(C8,Salespeople!$A$2:$A$11,Salespeople!$C$2:$C$11)</f>
        <v>Americas</v>
      </c>
      <c r="G8" t="str">
        <f>_xlfn.XLOOKUP(C8,Salespeople!$A$2:$A$11,Salespeople!$D$2:$D$11)</f>
        <v>Mexico</v>
      </c>
      <c r="H8">
        <v>4</v>
      </c>
      <c r="I8" s="5">
        <f>_xlfn.XLOOKUP($D8,Products!$A$2:$A$16,Products!$D$2:$D$16)</f>
        <v>130</v>
      </c>
      <c r="J8" s="5">
        <f>_xlfn.XLOOKUP(Sales!$D8,Products!$A$2:$A$16,Products!$E$2:$E$16)</f>
        <v>62</v>
      </c>
      <c r="K8" s="8" cm="1">
        <f t="array" ref="K8">_xlfn.IFS(H8&lt;=5,0%,H8&lt;=10,5%,H8&lt;=15,10%,H8&lt;=20,15%,H8&gt;20,20%)</f>
        <v>0</v>
      </c>
      <c r="L8" s="5">
        <f t="shared" si="0"/>
        <v>520</v>
      </c>
      <c r="M8" s="5" cm="1">
        <f t="array" ref="M8">L8*_xlfn.IFS(L8&lt;=5000,0.02,L8&lt;=15000,0.04,L8&gt;15000,0.06)</f>
        <v>10.4</v>
      </c>
      <c r="N8" s="5">
        <f t="shared" si="1"/>
        <v>272</v>
      </c>
      <c r="O8" s="8">
        <f t="shared" si="2"/>
        <v>0.52307692307692311</v>
      </c>
    </row>
    <row r="9" spans="1:15" x14ac:dyDescent="0.45">
      <c r="A9" t="s">
        <v>55</v>
      </c>
      <c r="B9" s="4">
        <v>45486</v>
      </c>
      <c r="C9" t="s">
        <v>17</v>
      </c>
      <c r="D9" t="s">
        <v>56</v>
      </c>
      <c r="E9" t="s">
        <v>48</v>
      </c>
      <c r="F9" t="str">
        <f>_xlfn.XLOOKUP(C9,Salespeople!$A$2:$A$11,Salespeople!$C$2:$C$11)</f>
        <v>EMEA</v>
      </c>
      <c r="G9" t="str">
        <f>_xlfn.XLOOKUP(C9,Salespeople!$A$2:$A$11,Salespeople!$D$2:$D$11)</f>
        <v>Portugal</v>
      </c>
      <c r="H9">
        <v>20</v>
      </c>
      <c r="I9" s="5">
        <f>_xlfn.XLOOKUP($D9,Products!$A$2:$A$16,Products!$D$2:$D$16)</f>
        <v>520</v>
      </c>
      <c r="J9" s="5">
        <f>_xlfn.XLOOKUP(Sales!$D9,Products!$A$2:$A$16,Products!$E$2:$E$16)</f>
        <v>360</v>
      </c>
      <c r="K9" s="8" cm="1">
        <f t="array" ref="K9">_xlfn.IFS(H9&lt;=5,0%,H9&lt;=10,5%,H9&lt;=15,10%,H9&lt;=20,15%,H9&gt;20,20%)</f>
        <v>0.15</v>
      </c>
      <c r="L9" s="5">
        <f t="shared" si="0"/>
        <v>8840</v>
      </c>
      <c r="M9" s="5" cm="1">
        <f t="array" ref="M9">L9*_xlfn.IFS(L9&lt;=5000,0.02,L9&lt;=15000,0.04,L9&gt;15000,0.06)</f>
        <v>353.6</v>
      </c>
      <c r="N9" s="5">
        <f t="shared" si="1"/>
        <v>1640</v>
      </c>
      <c r="O9" s="8">
        <f t="shared" si="2"/>
        <v>0.18552036199095023</v>
      </c>
    </row>
    <row r="10" spans="1:15" x14ac:dyDescent="0.45">
      <c r="A10" t="s">
        <v>58</v>
      </c>
      <c r="B10" s="4">
        <v>45314</v>
      </c>
      <c r="C10" t="s">
        <v>60</v>
      </c>
      <c r="D10" t="s">
        <v>62</v>
      </c>
      <c r="E10" t="s">
        <v>23</v>
      </c>
      <c r="F10" t="str">
        <f>_xlfn.XLOOKUP(C10,Salespeople!$A$2:$A$11,Salespeople!$C$2:$C$11)</f>
        <v>APAC</v>
      </c>
      <c r="G10" t="str">
        <f>_xlfn.XLOOKUP(C10,Salespeople!$A$2:$A$11,Salespeople!$D$2:$D$11)</f>
        <v>Japan</v>
      </c>
      <c r="H10">
        <v>13</v>
      </c>
      <c r="I10" s="5">
        <f>_xlfn.XLOOKUP($D10,Products!$A$2:$A$16,Products!$D$2:$D$16)</f>
        <v>1750</v>
      </c>
      <c r="J10" s="5">
        <f>_xlfn.XLOOKUP(Sales!$D10,Products!$A$2:$A$16,Products!$E$2:$E$16)</f>
        <v>1300</v>
      </c>
      <c r="K10" s="8" cm="1">
        <f t="array" ref="K10">_xlfn.IFS(H10&lt;=5,0%,H10&lt;=10,5%,H10&lt;=15,10%,H10&lt;=20,15%,H10&gt;20,20%)</f>
        <v>0.1</v>
      </c>
      <c r="L10" s="5">
        <f t="shared" si="0"/>
        <v>20475</v>
      </c>
      <c r="M10" s="5" cm="1">
        <f t="array" ref="M10">L10*_xlfn.IFS(L10&lt;=5000,0.02,L10&lt;=15000,0.04,L10&gt;15000,0.06)</f>
        <v>1228.5</v>
      </c>
      <c r="N10" s="5">
        <f t="shared" si="1"/>
        <v>3575</v>
      </c>
      <c r="O10" s="8">
        <f t="shared" si="2"/>
        <v>0.17460317460317459</v>
      </c>
    </row>
    <row r="11" spans="1:15" x14ac:dyDescent="0.45">
      <c r="A11" t="s">
        <v>64</v>
      </c>
      <c r="B11" s="4">
        <v>45574</v>
      </c>
      <c r="C11" t="s">
        <v>66</v>
      </c>
      <c r="D11" t="s">
        <v>68</v>
      </c>
      <c r="E11" t="s">
        <v>14</v>
      </c>
      <c r="F11" t="str">
        <f>_xlfn.XLOOKUP(C11,Salespeople!$A$2:$A$11,Salespeople!$C$2:$C$11)</f>
        <v>Americas</v>
      </c>
      <c r="G11" t="str">
        <f>_xlfn.XLOOKUP(C11,Salespeople!$A$2:$A$11,Salespeople!$D$2:$D$11)</f>
        <v>United States</v>
      </c>
      <c r="H11">
        <v>20</v>
      </c>
      <c r="I11" s="5">
        <f>_xlfn.XLOOKUP($D11,Products!$A$2:$A$16,Products!$D$2:$D$16)</f>
        <v>110</v>
      </c>
      <c r="J11" s="5">
        <f>_xlfn.XLOOKUP(Sales!$D11,Products!$A$2:$A$16,Products!$E$2:$E$16)</f>
        <v>55</v>
      </c>
      <c r="K11" s="8" cm="1">
        <f t="array" ref="K11">_xlfn.IFS(H11&lt;=5,0%,H11&lt;=10,5%,H11&lt;=15,10%,H11&lt;=20,15%,H11&gt;20,20%)</f>
        <v>0.15</v>
      </c>
      <c r="L11" s="5">
        <f t="shared" si="0"/>
        <v>1870</v>
      </c>
      <c r="M11" s="5" cm="1">
        <f t="array" ref="M11">L11*_xlfn.IFS(L11&lt;=5000,0.02,L11&lt;=15000,0.04,L11&gt;15000,0.06)</f>
        <v>37.4</v>
      </c>
      <c r="N11" s="5">
        <f t="shared" si="1"/>
        <v>770</v>
      </c>
      <c r="O11" s="8">
        <f t="shared" si="2"/>
        <v>0.41176470588235292</v>
      </c>
    </row>
    <row r="12" spans="1:15" x14ac:dyDescent="0.45">
      <c r="A12" t="s">
        <v>71</v>
      </c>
      <c r="B12" s="4">
        <v>45587</v>
      </c>
      <c r="C12" t="s">
        <v>51</v>
      </c>
      <c r="D12" t="s">
        <v>28</v>
      </c>
      <c r="E12" t="s">
        <v>23</v>
      </c>
      <c r="F12" t="str">
        <f>_xlfn.XLOOKUP(C12,Salespeople!$A$2:$A$11,Salespeople!$C$2:$C$11)</f>
        <v>Americas</v>
      </c>
      <c r="G12" t="str">
        <f>_xlfn.XLOOKUP(C12,Salespeople!$A$2:$A$11,Salespeople!$D$2:$D$11)</f>
        <v>Mexico</v>
      </c>
      <c r="H12">
        <v>2</v>
      </c>
      <c r="I12" s="5">
        <f>_xlfn.XLOOKUP($D12,Products!$A$2:$A$16,Products!$D$2:$D$16)</f>
        <v>95</v>
      </c>
      <c r="J12" s="5">
        <f>_xlfn.XLOOKUP(Sales!$D12,Products!$A$2:$A$16,Products!$E$2:$E$16)</f>
        <v>44</v>
      </c>
      <c r="K12" s="8" cm="1">
        <f t="array" ref="K12">_xlfn.IFS(H12&lt;=5,0%,H12&lt;=10,5%,H12&lt;=15,10%,H12&lt;=20,15%,H12&gt;20,20%)</f>
        <v>0</v>
      </c>
      <c r="L12" s="5">
        <f t="shared" si="0"/>
        <v>190</v>
      </c>
      <c r="M12" s="5" cm="1">
        <f t="array" ref="M12">L12*_xlfn.IFS(L12&lt;=5000,0.02,L12&lt;=15000,0.04,L12&gt;15000,0.06)</f>
        <v>3.8000000000000003</v>
      </c>
      <c r="N12" s="5">
        <f t="shared" si="1"/>
        <v>102</v>
      </c>
      <c r="O12" s="8">
        <f t="shared" si="2"/>
        <v>0.5368421052631579</v>
      </c>
    </row>
    <row r="13" spans="1:15" x14ac:dyDescent="0.45">
      <c r="A13" t="s">
        <v>72</v>
      </c>
      <c r="B13" s="4">
        <v>45440</v>
      </c>
      <c r="C13" t="s">
        <v>17</v>
      </c>
      <c r="D13" t="s">
        <v>68</v>
      </c>
      <c r="E13" t="s">
        <v>23</v>
      </c>
      <c r="F13" t="str">
        <f>_xlfn.XLOOKUP(C13,Salespeople!$A$2:$A$11,Salespeople!$C$2:$C$11)</f>
        <v>EMEA</v>
      </c>
      <c r="G13" t="str">
        <f>_xlfn.XLOOKUP(C13,Salespeople!$A$2:$A$11,Salespeople!$D$2:$D$11)</f>
        <v>Portugal</v>
      </c>
      <c r="H13">
        <v>4</v>
      </c>
      <c r="I13" s="5">
        <f>_xlfn.XLOOKUP($D13,Products!$A$2:$A$16,Products!$D$2:$D$16)</f>
        <v>110</v>
      </c>
      <c r="J13" s="5">
        <f>_xlfn.XLOOKUP(Sales!$D13,Products!$A$2:$A$16,Products!$E$2:$E$16)</f>
        <v>55</v>
      </c>
      <c r="K13" s="8" cm="1">
        <f t="array" ref="K13">_xlfn.IFS(H13&lt;=5,0%,H13&lt;=10,5%,H13&lt;=15,10%,H13&lt;=20,15%,H13&gt;20,20%)</f>
        <v>0</v>
      </c>
      <c r="L13" s="5">
        <f t="shared" si="0"/>
        <v>440</v>
      </c>
      <c r="M13" s="5" cm="1">
        <f t="array" ref="M13">L13*_xlfn.IFS(L13&lt;=5000,0.02,L13&lt;=15000,0.04,L13&gt;15000,0.06)</f>
        <v>8.8000000000000007</v>
      </c>
      <c r="N13" s="5">
        <f t="shared" si="1"/>
        <v>220</v>
      </c>
      <c r="O13" s="8">
        <f t="shared" si="2"/>
        <v>0.5</v>
      </c>
    </row>
    <row r="14" spans="1:15" x14ac:dyDescent="0.45">
      <c r="A14" t="s">
        <v>73</v>
      </c>
      <c r="B14" s="4">
        <v>45434</v>
      </c>
      <c r="C14" t="s">
        <v>60</v>
      </c>
      <c r="D14" t="s">
        <v>74</v>
      </c>
      <c r="E14" t="s">
        <v>48</v>
      </c>
      <c r="F14" t="str">
        <f>_xlfn.XLOOKUP(C14,Salespeople!$A$2:$A$11,Salespeople!$C$2:$C$11)</f>
        <v>APAC</v>
      </c>
      <c r="G14" t="str">
        <f>_xlfn.XLOOKUP(C14,Salespeople!$A$2:$A$11,Salespeople!$D$2:$D$11)</f>
        <v>Japan</v>
      </c>
      <c r="H14">
        <v>6</v>
      </c>
      <c r="I14" s="5">
        <f>_xlfn.XLOOKUP($D14,Products!$A$2:$A$16,Products!$D$2:$D$16)</f>
        <v>210</v>
      </c>
      <c r="J14" s="5">
        <f>_xlfn.XLOOKUP(Sales!$D14,Products!$A$2:$A$16,Products!$E$2:$E$16)</f>
        <v>120</v>
      </c>
      <c r="K14" s="8" cm="1">
        <f t="array" ref="K14">_xlfn.IFS(H14&lt;=5,0%,H14&lt;=10,5%,H14&lt;=15,10%,H14&lt;=20,15%,H14&gt;20,20%)</f>
        <v>0.05</v>
      </c>
      <c r="L14" s="5">
        <f t="shared" si="0"/>
        <v>1197</v>
      </c>
      <c r="M14" s="5" cm="1">
        <f t="array" ref="M14">L14*_xlfn.IFS(L14&lt;=5000,0.02,L14&lt;=15000,0.04,L14&gt;15000,0.06)</f>
        <v>23.94</v>
      </c>
      <c r="N14" s="5">
        <f t="shared" si="1"/>
        <v>477</v>
      </c>
      <c r="O14" s="8">
        <f t="shared" si="2"/>
        <v>0.39849624060150374</v>
      </c>
    </row>
    <row r="15" spans="1:15" x14ac:dyDescent="0.45">
      <c r="A15" t="s">
        <v>76</v>
      </c>
      <c r="B15" s="4">
        <v>45473</v>
      </c>
      <c r="C15" t="s">
        <v>51</v>
      </c>
      <c r="D15" t="s">
        <v>74</v>
      </c>
      <c r="E15" t="s">
        <v>48</v>
      </c>
      <c r="F15" t="str">
        <f>_xlfn.XLOOKUP(C15,Salespeople!$A$2:$A$11,Salespeople!$C$2:$C$11)</f>
        <v>Americas</v>
      </c>
      <c r="G15" t="str">
        <f>_xlfn.XLOOKUP(C15,Salespeople!$A$2:$A$11,Salespeople!$D$2:$D$11)</f>
        <v>Mexico</v>
      </c>
      <c r="H15">
        <v>23</v>
      </c>
      <c r="I15" s="5">
        <f>_xlfn.XLOOKUP($D15,Products!$A$2:$A$16,Products!$D$2:$D$16)</f>
        <v>210</v>
      </c>
      <c r="J15" s="5">
        <f>_xlfn.XLOOKUP(Sales!$D15,Products!$A$2:$A$16,Products!$E$2:$E$16)</f>
        <v>120</v>
      </c>
      <c r="K15" s="8" cm="1">
        <f t="array" ref="K15">_xlfn.IFS(H15&lt;=5,0%,H15&lt;=10,5%,H15&lt;=15,10%,H15&lt;=20,15%,H15&gt;20,20%)</f>
        <v>0.2</v>
      </c>
      <c r="L15" s="5">
        <f t="shared" si="0"/>
        <v>3864</v>
      </c>
      <c r="M15" s="5" cm="1">
        <f t="array" ref="M15">L15*_xlfn.IFS(L15&lt;=5000,0.02,L15&lt;=15000,0.04,L15&gt;15000,0.06)</f>
        <v>77.28</v>
      </c>
      <c r="N15" s="5">
        <f t="shared" si="1"/>
        <v>1104</v>
      </c>
      <c r="O15" s="8">
        <f t="shared" si="2"/>
        <v>0.2857142857142857</v>
      </c>
    </row>
    <row r="16" spans="1:15" x14ac:dyDescent="0.45">
      <c r="A16" t="s">
        <v>77</v>
      </c>
      <c r="B16" s="4">
        <v>45603</v>
      </c>
      <c r="C16" t="s">
        <v>26</v>
      </c>
      <c r="D16" t="s">
        <v>62</v>
      </c>
      <c r="E16" t="s">
        <v>14</v>
      </c>
      <c r="F16" t="str">
        <f>_xlfn.XLOOKUP(C16,Salespeople!$A$2:$A$11,Salespeople!$C$2:$C$11)</f>
        <v>APAC</v>
      </c>
      <c r="G16" t="str">
        <f>_xlfn.XLOOKUP(C16,Salespeople!$A$2:$A$11,Salespeople!$D$2:$D$11)</f>
        <v>Singapore</v>
      </c>
      <c r="H16">
        <v>8</v>
      </c>
      <c r="I16" s="5">
        <f>_xlfn.XLOOKUP($D16,Products!$A$2:$A$16,Products!$D$2:$D$16)</f>
        <v>1750</v>
      </c>
      <c r="J16" s="5">
        <f>_xlfn.XLOOKUP(Sales!$D16,Products!$A$2:$A$16,Products!$E$2:$E$16)</f>
        <v>1300</v>
      </c>
      <c r="K16" s="8" cm="1">
        <f t="array" ref="K16">_xlfn.IFS(H16&lt;=5,0%,H16&lt;=10,5%,H16&lt;=15,10%,H16&lt;=20,15%,H16&gt;20,20%)</f>
        <v>0.05</v>
      </c>
      <c r="L16" s="5">
        <f t="shared" si="0"/>
        <v>13300</v>
      </c>
      <c r="M16" s="5" cm="1">
        <f t="array" ref="M16">L16*_xlfn.IFS(L16&lt;=5000,0.02,L16&lt;=15000,0.04,L16&gt;15000,0.06)</f>
        <v>532</v>
      </c>
      <c r="N16" s="5">
        <f t="shared" si="1"/>
        <v>2900</v>
      </c>
      <c r="O16" s="8">
        <f t="shared" si="2"/>
        <v>0.21804511278195488</v>
      </c>
    </row>
    <row r="17" spans="1:15" x14ac:dyDescent="0.45">
      <c r="A17" t="s">
        <v>78</v>
      </c>
      <c r="B17" s="4">
        <v>45528</v>
      </c>
      <c r="C17" t="s">
        <v>33</v>
      </c>
      <c r="D17" t="s">
        <v>79</v>
      </c>
      <c r="E17" t="s">
        <v>14</v>
      </c>
      <c r="F17" t="str">
        <f>_xlfn.XLOOKUP(C17,Salespeople!$A$2:$A$11,Salespeople!$C$2:$C$11)</f>
        <v>EMEA</v>
      </c>
      <c r="G17" t="str">
        <f>_xlfn.XLOOKUP(C17,Salespeople!$A$2:$A$11,Salespeople!$D$2:$D$11)</f>
        <v>Kenya</v>
      </c>
      <c r="H17">
        <v>23</v>
      </c>
      <c r="I17" s="5">
        <f>_xlfn.XLOOKUP($D17,Products!$A$2:$A$16,Products!$D$2:$D$16)</f>
        <v>240</v>
      </c>
      <c r="J17" s="5">
        <f>_xlfn.XLOOKUP(Sales!$D17,Products!$A$2:$A$16,Products!$E$2:$E$16)</f>
        <v>150</v>
      </c>
      <c r="K17" s="8" cm="1">
        <f t="array" ref="K17">_xlfn.IFS(H17&lt;=5,0%,H17&lt;=10,5%,H17&lt;=15,10%,H17&lt;=20,15%,H17&gt;20,20%)</f>
        <v>0.2</v>
      </c>
      <c r="L17" s="5">
        <f t="shared" si="0"/>
        <v>4416</v>
      </c>
      <c r="M17" s="5" cm="1">
        <f t="array" ref="M17">L17*_xlfn.IFS(L17&lt;=5000,0.02,L17&lt;=15000,0.04,L17&gt;15000,0.06)</f>
        <v>88.320000000000007</v>
      </c>
      <c r="N17" s="5">
        <f t="shared" si="1"/>
        <v>966</v>
      </c>
      <c r="O17" s="8">
        <f t="shared" si="2"/>
        <v>0.21875</v>
      </c>
    </row>
    <row r="18" spans="1:15" x14ac:dyDescent="0.45">
      <c r="A18" t="s">
        <v>81</v>
      </c>
      <c r="B18" s="4">
        <v>45642</v>
      </c>
      <c r="C18" t="s">
        <v>83</v>
      </c>
      <c r="D18" t="s">
        <v>68</v>
      </c>
      <c r="E18" t="s">
        <v>23</v>
      </c>
      <c r="F18" t="str">
        <f>_xlfn.XLOOKUP(C18,Salespeople!$A$2:$A$11,Salespeople!$C$2:$C$11)</f>
        <v>EMEA</v>
      </c>
      <c r="G18" t="str">
        <f>_xlfn.XLOOKUP(C18,Salespeople!$A$2:$A$11,Salespeople!$D$2:$D$11)</f>
        <v>United Arab Emirates</v>
      </c>
      <c r="H18">
        <v>8</v>
      </c>
      <c r="I18" s="5">
        <f>_xlfn.XLOOKUP($D18,Products!$A$2:$A$16,Products!$D$2:$D$16)</f>
        <v>110</v>
      </c>
      <c r="J18" s="5">
        <f>_xlfn.XLOOKUP(Sales!$D18,Products!$A$2:$A$16,Products!$E$2:$E$16)</f>
        <v>55</v>
      </c>
      <c r="K18" s="8" cm="1">
        <f t="array" ref="K18">_xlfn.IFS(H18&lt;=5,0%,H18&lt;=10,5%,H18&lt;=15,10%,H18&lt;=20,15%,H18&gt;20,20%)</f>
        <v>0.05</v>
      </c>
      <c r="L18" s="5">
        <f t="shared" si="0"/>
        <v>836</v>
      </c>
      <c r="M18" s="5" cm="1">
        <f t="array" ref="M18">L18*_xlfn.IFS(L18&lt;=5000,0.02,L18&lt;=15000,0.04,L18&gt;15000,0.06)</f>
        <v>16.72</v>
      </c>
      <c r="N18" s="5">
        <f t="shared" si="1"/>
        <v>396</v>
      </c>
      <c r="O18" s="8">
        <f t="shared" si="2"/>
        <v>0.47368421052631576</v>
      </c>
    </row>
    <row r="19" spans="1:15" x14ac:dyDescent="0.45">
      <c r="A19" t="s">
        <v>85</v>
      </c>
      <c r="B19" s="4">
        <v>45453</v>
      </c>
      <c r="C19" t="s">
        <v>33</v>
      </c>
      <c r="D19" t="s">
        <v>79</v>
      </c>
      <c r="E19" t="s">
        <v>23</v>
      </c>
      <c r="F19" t="str">
        <f>_xlfn.XLOOKUP(C19,Salespeople!$A$2:$A$11,Salespeople!$C$2:$C$11)</f>
        <v>EMEA</v>
      </c>
      <c r="G19" t="str">
        <f>_xlfn.XLOOKUP(C19,Salespeople!$A$2:$A$11,Salespeople!$D$2:$D$11)</f>
        <v>Kenya</v>
      </c>
      <c r="H19">
        <v>7</v>
      </c>
      <c r="I19" s="5">
        <f>_xlfn.XLOOKUP($D19,Products!$A$2:$A$16,Products!$D$2:$D$16)</f>
        <v>240</v>
      </c>
      <c r="J19" s="5">
        <f>_xlfn.XLOOKUP(Sales!$D19,Products!$A$2:$A$16,Products!$E$2:$E$16)</f>
        <v>150</v>
      </c>
      <c r="K19" s="8" cm="1">
        <f t="array" ref="K19">_xlfn.IFS(H19&lt;=5,0%,H19&lt;=10,5%,H19&lt;=15,10%,H19&lt;=20,15%,H19&gt;20,20%)</f>
        <v>0.05</v>
      </c>
      <c r="L19" s="5">
        <f t="shared" si="0"/>
        <v>1596</v>
      </c>
      <c r="M19" s="5" cm="1">
        <f t="array" ref="M19">L19*_xlfn.IFS(L19&lt;=5000,0.02,L19&lt;=15000,0.04,L19&gt;15000,0.06)</f>
        <v>31.92</v>
      </c>
      <c r="N19" s="5">
        <f t="shared" si="1"/>
        <v>546</v>
      </c>
      <c r="O19" s="8">
        <f t="shared" si="2"/>
        <v>0.34210526315789475</v>
      </c>
    </row>
    <row r="20" spans="1:15" x14ac:dyDescent="0.45">
      <c r="A20" t="s">
        <v>86</v>
      </c>
      <c r="B20" s="4">
        <v>45400</v>
      </c>
      <c r="C20" t="s">
        <v>60</v>
      </c>
      <c r="D20" t="s">
        <v>44</v>
      </c>
      <c r="E20" t="s">
        <v>14</v>
      </c>
      <c r="F20" t="str">
        <f>_xlfn.XLOOKUP(C20,Salespeople!$A$2:$A$11,Salespeople!$C$2:$C$11)</f>
        <v>APAC</v>
      </c>
      <c r="G20" t="str">
        <f>_xlfn.XLOOKUP(C20,Salespeople!$A$2:$A$11,Salespeople!$D$2:$D$11)</f>
        <v>Japan</v>
      </c>
      <c r="H20">
        <v>15</v>
      </c>
      <c r="I20" s="5">
        <f>_xlfn.XLOOKUP($D20,Products!$A$2:$A$16,Products!$D$2:$D$16)</f>
        <v>180</v>
      </c>
      <c r="J20" s="5">
        <f>_xlfn.XLOOKUP(Sales!$D20,Products!$A$2:$A$16,Products!$E$2:$E$16)</f>
        <v>105</v>
      </c>
      <c r="K20" s="8" cm="1">
        <f t="array" ref="K20">_xlfn.IFS(H20&lt;=5,0%,H20&lt;=10,5%,H20&lt;=15,10%,H20&lt;=20,15%,H20&gt;20,20%)</f>
        <v>0.1</v>
      </c>
      <c r="L20" s="5">
        <f t="shared" si="0"/>
        <v>2430</v>
      </c>
      <c r="M20" s="5" cm="1">
        <f t="array" ref="M20">L20*_xlfn.IFS(L20&lt;=5000,0.02,L20&lt;=15000,0.04,L20&gt;15000,0.06)</f>
        <v>48.6</v>
      </c>
      <c r="N20" s="5">
        <f t="shared" si="1"/>
        <v>855</v>
      </c>
      <c r="O20" s="8">
        <f t="shared" si="2"/>
        <v>0.35185185185185186</v>
      </c>
    </row>
    <row r="21" spans="1:15" x14ac:dyDescent="0.45">
      <c r="A21" t="s">
        <v>87</v>
      </c>
      <c r="B21" s="4">
        <v>45427</v>
      </c>
      <c r="C21" t="s">
        <v>26</v>
      </c>
      <c r="D21" t="s">
        <v>88</v>
      </c>
      <c r="E21" t="s">
        <v>14</v>
      </c>
      <c r="F21" t="str">
        <f>_xlfn.XLOOKUP(C21,Salespeople!$A$2:$A$11,Salespeople!$C$2:$C$11)</f>
        <v>APAC</v>
      </c>
      <c r="G21" t="str">
        <f>_xlfn.XLOOKUP(C21,Salespeople!$A$2:$A$11,Salespeople!$D$2:$D$11)</f>
        <v>Singapore</v>
      </c>
      <c r="H21">
        <v>18</v>
      </c>
      <c r="I21" s="5">
        <f>_xlfn.XLOOKUP($D21,Products!$A$2:$A$16,Products!$D$2:$D$16)</f>
        <v>35</v>
      </c>
      <c r="J21" s="5">
        <f>_xlfn.XLOOKUP(Sales!$D21,Products!$A$2:$A$16,Products!$E$2:$E$16)</f>
        <v>14</v>
      </c>
      <c r="K21" s="8" cm="1">
        <f t="array" ref="K21">_xlfn.IFS(H21&lt;=5,0%,H21&lt;=10,5%,H21&lt;=15,10%,H21&lt;=20,15%,H21&gt;20,20%)</f>
        <v>0.15</v>
      </c>
      <c r="L21" s="5">
        <f t="shared" si="0"/>
        <v>535.5</v>
      </c>
      <c r="M21" s="5" cm="1">
        <f t="array" ref="M21">L21*_xlfn.IFS(L21&lt;=5000,0.02,L21&lt;=15000,0.04,L21&gt;15000,0.06)</f>
        <v>10.71</v>
      </c>
      <c r="N21" s="5">
        <f t="shared" si="1"/>
        <v>283.5</v>
      </c>
      <c r="O21" s="8">
        <f t="shared" si="2"/>
        <v>0.52941176470588236</v>
      </c>
    </row>
    <row r="22" spans="1:15" x14ac:dyDescent="0.45">
      <c r="A22" t="s">
        <v>90</v>
      </c>
      <c r="B22" s="4">
        <v>45591</v>
      </c>
      <c r="C22" t="s">
        <v>33</v>
      </c>
      <c r="D22" t="s">
        <v>91</v>
      </c>
      <c r="E22" t="s">
        <v>14</v>
      </c>
      <c r="F22" t="str">
        <f>_xlfn.XLOOKUP(C22,Salespeople!$A$2:$A$11,Salespeople!$C$2:$C$11)</f>
        <v>EMEA</v>
      </c>
      <c r="G22" t="str">
        <f>_xlfn.XLOOKUP(C22,Salespeople!$A$2:$A$11,Salespeople!$D$2:$D$11)</f>
        <v>Kenya</v>
      </c>
      <c r="H22">
        <v>13</v>
      </c>
      <c r="I22" s="5">
        <f>_xlfn.XLOOKUP($D22,Products!$A$2:$A$16,Products!$D$2:$D$16)</f>
        <v>160</v>
      </c>
      <c r="J22" s="5">
        <f>_xlfn.XLOOKUP(Sales!$D22,Products!$A$2:$A$16,Products!$E$2:$E$16)</f>
        <v>88</v>
      </c>
      <c r="K22" s="8" cm="1">
        <f t="array" ref="K22">_xlfn.IFS(H22&lt;=5,0%,H22&lt;=10,5%,H22&lt;=15,10%,H22&lt;=20,15%,H22&gt;20,20%)</f>
        <v>0.1</v>
      </c>
      <c r="L22" s="5">
        <f t="shared" si="0"/>
        <v>1872</v>
      </c>
      <c r="M22" s="5" cm="1">
        <f t="array" ref="M22">L22*_xlfn.IFS(L22&lt;=5000,0.02,L22&lt;=15000,0.04,L22&gt;15000,0.06)</f>
        <v>37.44</v>
      </c>
      <c r="N22" s="5">
        <f t="shared" si="1"/>
        <v>728</v>
      </c>
      <c r="O22" s="8">
        <f t="shared" si="2"/>
        <v>0.3888888888888889</v>
      </c>
    </row>
    <row r="23" spans="1:15" x14ac:dyDescent="0.45">
      <c r="A23" t="s">
        <v>93</v>
      </c>
      <c r="B23" s="4">
        <v>45404</v>
      </c>
      <c r="C23" t="s">
        <v>26</v>
      </c>
      <c r="D23" t="s">
        <v>62</v>
      </c>
      <c r="E23" t="s">
        <v>48</v>
      </c>
      <c r="F23" t="str">
        <f>_xlfn.XLOOKUP(C23,Salespeople!$A$2:$A$11,Salespeople!$C$2:$C$11)</f>
        <v>APAC</v>
      </c>
      <c r="G23" t="str">
        <f>_xlfn.XLOOKUP(C23,Salespeople!$A$2:$A$11,Salespeople!$D$2:$D$11)</f>
        <v>Singapore</v>
      </c>
      <c r="H23">
        <v>3</v>
      </c>
      <c r="I23" s="5">
        <f>_xlfn.XLOOKUP($D23,Products!$A$2:$A$16,Products!$D$2:$D$16)</f>
        <v>1750</v>
      </c>
      <c r="J23" s="5">
        <f>_xlfn.XLOOKUP(Sales!$D23,Products!$A$2:$A$16,Products!$E$2:$E$16)</f>
        <v>1300</v>
      </c>
      <c r="K23" s="8" cm="1">
        <f t="array" ref="K23">_xlfn.IFS(H23&lt;=5,0%,H23&lt;=10,5%,H23&lt;=15,10%,H23&lt;=20,15%,H23&gt;20,20%)</f>
        <v>0</v>
      </c>
      <c r="L23" s="5">
        <f t="shared" si="0"/>
        <v>5250</v>
      </c>
      <c r="M23" s="5" cm="1">
        <f t="array" ref="M23">L23*_xlfn.IFS(L23&lt;=5000,0.02,L23&lt;=15000,0.04,L23&gt;15000,0.06)</f>
        <v>210</v>
      </c>
      <c r="N23" s="5">
        <f t="shared" si="1"/>
        <v>1350</v>
      </c>
      <c r="O23" s="8">
        <f t="shared" si="2"/>
        <v>0.25714285714285712</v>
      </c>
    </row>
    <row r="24" spans="1:15" x14ac:dyDescent="0.45">
      <c r="A24" t="s">
        <v>94</v>
      </c>
      <c r="B24" s="4">
        <v>45348</v>
      </c>
      <c r="C24" t="s">
        <v>26</v>
      </c>
      <c r="D24" t="s">
        <v>74</v>
      </c>
      <c r="E24" t="s">
        <v>23</v>
      </c>
      <c r="F24" t="str">
        <f>_xlfn.XLOOKUP(C24,Salespeople!$A$2:$A$11,Salespeople!$C$2:$C$11)</f>
        <v>APAC</v>
      </c>
      <c r="G24" t="str">
        <f>_xlfn.XLOOKUP(C24,Salespeople!$A$2:$A$11,Salespeople!$D$2:$D$11)</f>
        <v>Singapore</v>
      </c>
      <c r="H24">
        <v>22</v>
      </c>
      <c r="I24" s="5">
        <f>_xlfn.XLOOKUP($D24,Products!$A$2:$A$16,Products!$D$2:$D$16)</f>
        <v>210</v>
      </c>
      <c r="J24" s="5">
        <f>_xlfn.XLOOKUP(Sales!$D24,Products!$A$2:$A$16,Products!$E$2:$E$16)</f>
        <v>120</v>
      </c>
      <c r="K24" s="8" cm="1">
        <f t="array" ref="K24">_xlfn.IFS(H24&lt;=5,0%,H24&lt;=10,5%,H24&lt;=15,10%,H24&lt;=20,15%,H24&gt;20,20%)</f>
        <v>0.2</v>
      </c>
      <c r="L24" s="5">
        <f t="shared" si="0"/>
        <v>3696</v>
      </c>
      <c r="M24" s="5" cm="1">
        <f t="array" ref="M24">L24*_xlfn.IFS(L24&lt;=5000,0.02,L24&lt;=15000,0.04,L24&gt;15000,0.06)</f>
        <v>73.92</v>
      </c>
      <c r="N24" s="5">
        <f t="shared" si="1"/>
        <v>1056</v>
      </c>
      <c r="O24" s="8">
        <f t="shared" si="2"/>
        <v>0.2857142857142857</v>
      </c>
    </row>
    <row r="25" spans="1:15" x14ac:dyDescent="0.45">
      <c r="A25" t="s">
        <v>95</v>
      </c>
      <c r="B25" s="4">
        <v>45597</v>
      </c>
      <c r="C25" t="s">
        <v>17</v>
      </c>
      <c r="D25" t="s">
        <v>44</v>
      </c>
      <c r="E25" t="s">
        <v>48</v>
      </c>
      <c r="F25" t="str">
        <f>_xlfn.XLOOKUP(C25,Salespeople!$A$2:$A$11,Salespeople!$C$2:$C$11)</f>
        <v>EMEA</v>
      </c>
      <c r="G25" t="str">
        <f>_xlfn.XLOOKUP(C25,Salespeople!$A$2:$A$11,Salespeople!$D$2:$D$11)</f>
        <v>Portugal</v>
      </c>
      <c r="H25">
        <v>20</v>
      </c>
      <c r="I25" s="5">
        <f>_xlfn.XLOOKUP($D25,Products!$A$2:$A$16,Products!$D$2:$D$16)</f>
        <v>180</v>
      </c>
      <c r="J25" s="5">
        <f>_xlfn.XLOOKUP(Sales!$D25,Products!$A$2:$A$16,Products!$E$2:$E$16)</f>
        <v>105</v>
      </c>
      <c r="K25" s="8" cm="1">
        <f t="array" ref="K25">_xlfn.IFS(H25&lt;=5,0%,H25&lt;=10,5%,H25&lt;=15,10%,H25&lt;=20,15%,H25&gt;20,20%)</f>
        <v>0.15</v>
      </c>
      <c r="L25" s="5">
        <f t="shared" si="0"/>
        <v>3060</v>
      </c>
      <c r="M25" s="5" cm="1">
        <f t="array" ref="M25">L25*_xlfn.IFS(L25&lt;=5000,0.02,L25&lt;=15000,0.04,L25&gt;15000,0.06)</f>
        <v>61.2</v>
      </c>
      <c r="N25" s="5">
        <f t="shared" si="1"/>
        <v>960</v>
      </c>
      <c r="O25" s="8">
        <f t="shared" si="2"/>
        <v>0.31372549019607843</v>
      </c>
    </row>
    <row r="26" spans="1:15" x14ac:dyDescent="0.45">
      <c r="A26" t="s">
        <v>96</v>
      </c>
      <c r="B26" s="4">
        <v>45562</v>
      </c>
      <c r="C26" t="s">
        <v>66</v>
      </c>
      <c r="D26" t="s">
        <v>62</v>
      </c>
      <c r="E26" t="s">
        <v>23</v>
      </c>
      <c r="F26" t="str">
        <f>_xlfn.XLOOKUP(C26,Salespeople!$A$2:$A$11,Salespeople!$C$2:$C$11)</f>
        <v>Americas</v>
      </c>
      <c r="G26" t="str">
        <f>_xlfn.XLOOKUP(C26,Salespeople!$A$2:$A$11,Salespeople!$D$2:$D$11)</f>
        <v>United States</v>
      </c>
      <c r="H26">
        <v>22</v>
      </c>
      <c r="I26" s="5">
        <f>_xlfn.XLOOKUP($D26,Products!$A$2:$A$16,Products!$D$2:$D$16)</f>
        <v>1750</v>
      </c>
      <c r="J26" s="5">
        <f>_xlfn.XLOOKUP(Sales!$D26,Products!$A$2:$A$16,Products!$E$2:$E$16)</f>
        <v>1300</v>
      </c>
      <c r="K26" s="8" cm="1">
        <f t="array" ref="K26">_xlfn.IFS(H26&lt;=5,0%,H26&lt;=10,5%,H26&lt;=15,10%,H26&lt;=20,15%,H26&gt;20,20%)</f>
        <v>0.2</v>
      </c>
      <c r="L26" s="5">
        <f t="shared" si="0"/>
        <v>30800</v>
      </c>
      <c r="M26" s="5" cm="1">
        <f t="array" ref="M26">L26*_xlfn.IFS(L26&lt;=5000,0.02,L26&lt;=15000,0.04,L26&gt;15000,0.06)</f>
        <v>1848</v>
      </c>
      <c r="N26" s="5">
        <f t="shared" si="1"/>
        <v>2200</v>
      </c>
      <c r="O26" s="8">
        <f t="shared" si="2"/>
        <v>7.1428571428571425E-2</v>
      </c>
    </row>
    <row r="27" spans="1:15" x14ac:dyDescent="0.45">
      <c r="A27" t="s">
        <v>97</v>
      </c>
      <c r="B27" s="4">
        <v>45641</v>
      </c>
      <c r="C27" t="s">
        <v>38</v>
      </c>
      <c r="D27" t="s">
        <v>53</v>
      </c>
      <c r="E27" t="s">
        <v>48</v>
      </c>
      <c r="F27" t="str">
        <f>_xlfn.XLOOKUP(C27,Salespeople!$A$2:$A$11,Salespeople!$C$2:$C$11)</f>
        <v>Americas</v>
      </c>
      <c r="G27" t="str">
        <f>_xlfn.XLOOKUP(C27,Salespeople!$A$2:$A$11,Salespeople!$D$2:$D$11)</f>
        <v>Brazil</v>
      </c>
      <c r="H27">
        <v>25</v>
      </c>
      <c r="I27" s="5">
        <f>_xlfn.XLOOKUP($D27,Products!$A$2:$A$16,Products!$D$2:$D$16)</f>
        <v>130</v>
      </c>
      <c r="J27" s="5">
        <f>_xlfn.XLOOKUP(Sales!$D27,Products!$A$2:$A$16,Products!$E$2:$E$16)</f>
        <v>62</v>
      </c>
      <c r="K27" s="8" cm="1">
        <f t="array" ref="K27">_xlfn.IFS(H27&lt;=5,0%,H27&lt;=10,5%,H27&lt;=15,10%,H27&lt;=20,15%,H27&gt;20,20%)</f>
        <v>0.2</v>
      </c>
      <c r="L27" s="5">
        <f t="shared" si="0"/>
        <v>2600</v>
      </c>
      <c r="M27" s="5" cm="1">
        <f t="array" ref="M27">L27*_xlfn.IFS(L27&lt;=5000,0.02,L27&lt;=15000,0.04,L27&gt;15000,0.06)</f>
        <v>52</v>
      </c>
      <c r="N27" s="5">
        <f t="shared" si="1"/>
        <v>1050</v>
      </c>
      <c r="O27" s="8">
        <f t="shared" si="2"/>
        <v>0.40384615384615385</v>
      </c>
    </row>
    <row r="28" spans="1:15" x14ac:dyDescent="0.45">
      <c r="A28" t="s">
        <v>98</v>
      </c>
      <c r="B28" s="4">
        <v>45349</v>
      </c>
      <c r="C28" t="s">
        <v>66</v>
      </c>
      <c r="D28" t="s">
        <v>44</v>
      </c>
      <c r="E28" t="s">
        <v>23</v>
      </c>
      <c r="F28" t="str">
        <f>_xlfn.XLOOKUP(C28,Salespeople!$A$2:$A$11,Salespeople!$C$2:$C$11)</f>
        <v>Americas</v>
      </c>
      <c r="G28" t="str">
        <f>_xlfn.XLOOKUP(C28,Salespeople!$A$2:$A$11,Salespeople!$D$2:$D$11)</f>
        <v>United States</v>
      </c>
      <c r="H28">
        <v>15</v>
      </c>
      <c r="I28" s="5">
        <f>_xlfn.XLOOKUP($D28,Products!$A$2:$A$16,Products!$D$2:$D$16)</f>
        <v>180</v>
      </c>
      <c r="J28" s="5">
        <f>_xlfn.XLOOKUP(Sales!$D28,Products!$A$2:$A$16,Products!$E$2:$E$16)</f>
        <v>105</v>
      </c>
      <c r="K28" s="8" cm="1">
        <f t="array" ref="K28">_xlfn.IFS(H28&lt;=5,0%,H28&lt;=10,5%,H28&lt;=15,10%,H28&lt;=20,15%,H28&gt;20,20%)</f>
        <v>0.1</v>
      </c>
      <c r="L28" s="5">
        <f t="shared" si="0"/>
        <v>2430</v>
      </c>
      <c r="M28" s="5" cm="1">
        <f t="array" ref="M28">L28*_xlfn.IFS(L28&lt;=5000,0.02,L28&lt;=15000,0.04,L28&gt;15000,0.06)</f>
        <v>48.6</v>
      </c>
      <c r="N28" s="5">
        <f t="shared" si="1"/>
        <v>855</v>
      </c>
      <c r="O28" s="8">
        <f t="shared" si="2"/>
        <v>0.35185185185185186</v>
      </c>
    </row>
    <row r="29" spans="1:15" x14ac:dyDescent="0.45">
      <c r="A29" t="s">
        <v>99</v>
      </c>
      <c r="B29" s="4">
        <v>45426</v>
      </c>
      <c r="C29" t="s">
        <v>38</v>
      </c>
      <c r="D29" t="s">
        <v>53</v>
      </c>
      <c r="E29" t="s">
        <v>23</v>
      </c>
      <c r="F29" t="str">
        <f>_xlfn.XLOOKUP(C29,Salespeople!$A$2:$A$11,Salespeople!$C$2:$C$11)</f>
        <v>Americas</v>
      </c>
      <c r="G29" t="str">
        <f>_xlfn.XLOOKUP(C29,Salespeople!$A$2:$A$11,Salespeople!$D$2:$D$11)</f>
        <v>Brazil</v>
      </c>
      <c r="H29">
        <v>17</v>
      </c>
      <c r="I29" s="5">
        <f>_xlfn.XLOOKUP($D29,Products!$A$2:$A$16,Products!$D$2:$D$16)</f>
        <v>130</v>
      </c>
      <c r="J29" s="5">
        <f>_xlfn.XLOOKUP(Sales!$D29,Products!$A$2:$A$16,Products!$E$2:$E$16)</f>
        <v>62</v>
      </c>
      <c r="K29" s="8" cm="1">
        <f t="array" ref="K29">_xlfn.IFS(H29&lt;=5,0%,H29&lt;=10,5%,H29&lt;=15,10%,H29&lt;=20,15%,H29&gt;20,20%)</f>
        <v>0.15</v>
      </c>
      <c r="L29" s="5">
        <f t="shared" si="0"/>
        <v>1878.5</v>
      </c>
      <c r="M29" s="5" cm="1">
        <f t="array" ref="M29">L29*_xlfn.IFS(L29&lt;=5000,0.02,L29&lt;=15000,0.04,L29&gt;15000,0.06)</f>
        <v>37.57</v>
      </c>
      <c r="N29" s="5">
        <f t="shared" si="1"/>
        <v>824.5</v>
      </c>
      <c r="O29" s="8">
        <f t="shared" si="2"/>
        <v>0.43891402714932126</v>
      </c>
    </row>
    <row r="30" spans="1:15" x14ac:dyDescent="0.45">
      <c r="A30" t="s">
        <v>100</v>
      </c>
      <c r="B30" s="4">
        <v>45612</v>
      </c>
      <c r="C30" t="s">
        <v>66</v>
      </c>
      <c r="D30" t="s">
        <v>68</v>
      </c>
      <c r="E30" t="s">
        <v>14</v>
      </c>
      <c r="F30" t="str">
        <f>_xlfn.XLOOKUP(C30,Salespeople!$A$2:$A$11,Salespeople!$C$2:$C$11)</f>
        <v>Americas</v>
      </c>
      <c r="G30" t="str">
        <f>_xlfn.XLOOKUP(C30,Salespeople!$A$2:$A$11,Salespeople!$D$2:$D$11)</f>
        <v>United States</v>
      </c>
      <c r="H30">
        <v>17</v>
      </c>
      <c r="I30" s="5">
        <f>_xlfn.XLOOKUP($D30,Products!$A$2:$A$16,Products!$D$2:$D$16)</f>
        <v>110</v>
      </c>
      <c r="J30" s="5">
        <f>_xlfn.XLOOKUP(Sales!$D30,Products!$A$2:$A$16,Products!$E$2:$E$16)</f>
        <v>55</v>
      </c>
      <c r="K30" s="8" cm="1">
        <f t="array" ref="K30">_xlfn.IFS(H30&lt;=5,0%,H30&lt;=10,5%,H30&lt;=15,10%,H30&lt;=20,15%,H30&gt;20,20%)</f>
        <v>0.15</v>
      </c>
      <c r="L30" s="5">
        <f t="shared" si="0"/>
        <v>1589.5</v>
      </c>
      <c r="M30" s="5" cm="1">
        <f t="array" ref="M30">L30*_xlfn.IFS(L30&lt;=5000,0.02,L30&lt;=15000,0.04,L30&gt;15000,0.06)</f>
        <v>31.79</v>
      </c>
      <c r="N30" s="5">
        <f t="shared" si="1"/>
        <v>654.5</v>
      </c>
      <c r="O30" s="8">
        <f t="shared" si="2"/>
        <v>0.41176470588235292</v>
      </c>
    </row>
    <row r="31" spans="1:15" x14ac:dyDescent="0.45">
      <c r="A31" t="s">
        <v>101</v>
      </c>
      <c r="B31" s="4">
        <v>45370</v>
      </c>
      <c r="C31" t="s">
        <v>83</v>
      </c>
      <c r="D31" t="s">
        <v>53</v>
      </c>
      <c r="E31" t="s">
        <v>23</v>
      </c>
      <c r="F31" t="str">
        <f>_xlfn.XLOOKUP(C31,Salespeople!$A$2:$A$11,Salespeople!$C$2:$C$11)</f>
        <v>EMEA</v>
      </c>
      <c r="G31" t="str">
        <f>_xlfn.XLOOKUP(C31,Salespeople!$A$2:$A$11,Salespeople!$D$2:$D$11)</f>
        <v>United Arab Emirates</v>
      </c>
      <c r="H31">
        <v>18</v>
      </c>
      <c r="I31" s="5">
        <f>_xlfn.XLOOKUP($D31,Products!$A$2:$A$16,Products!$D$2:$D$16)</f>
        <v>130</v>
      </c>
      <c r="J31" s="5">
        <f>_xlfn.XLOOKUP(Sales!$D31,Products!$A$2:$A$16,Products!$E$2:$E$16)</f>
        <v>62</v>
      </c>
      <c r="K31" s="8" cm="1">
        <f t="array" ref="K31">_xlfn.IFS(H31&lt;=5,0%,H31&lt;=10,5%,H31&lt;=15,10%,H31&lt;=20,15%,H31&gt;20,20%)</f>
        <v>0.15</v>
      </c>
      <c r="L31" s="5">
        <f t="shared" si="0"/>
        <v>1989</v>
      </c>
      <c r="M31" s="5" cm="1">
        <f t="array" ref="M31">L31*_xlfn.IFS(L31&lt;=5000,0.02,L31&lt;=15000,0.04,L31&gt;15000,0.06)</f>
        <v>39.78</v>
      </c>
      <c r="N31" s="5">
        <f t="shared" si="1"/>
        <v>873</v>
      </c>
      <c r="O31" s="8">
        <f t="shared" si="2"/>
        <v>0.43891402714932126</v>
      </c>
    </row>
    <row r="32" spans="1:15" x14ac:dyDescent="0.45">
      <c r="A32" t="s">
        <v>102</v>
      </c>
      <c r="B32" s="4">
        <v>45598</v>
      </c>
      <c r="C32" t="s">
        <v>83</v>
      </c>
      <c r="D32" t="s">
        <v>103</v>
      </c>
      <c r="E32" t="s">
        <v>23</v>
      </c>
      <c r="F32" t="str">
        <f>_xlfn.XLOOKUP(C32,Salespeople!$A$2:$A$11,Salespeople!$C$2:$C$11)</f>
        <v>EMEA</v>
      </c>
      <c r="G32" t="str">
        <f>_xlfn.XLOOKUP(C32,Salespeople!$A$2:$A$11,Salespeople!$D$2:$D$11)</f>
        <v>United Arab Emirates</v>
      </c>
      <c r="H32">
        <v>4</v>
      </c>
      <c r="I32" s="5">
        <f>_xlfn.XLOOKUP($D32,Products!$A$2:$A$16,Products!$D$2:$D$16)</f>
        <v>1150</v>
      </c>
      <c r="J32" s="5">
        <f>_xlfn.XLOOKUP(Sales!$D32,Products!$A$2:$A$16,Products!$E$2:$E$16)</f>
        <v>820</v>
      </c>
      <c r="K32" s="8" cm="1">
        <f t="array" ref="K32">_xlfn.IFS(H32&lt;=5,0%,H32&lt;=10,5%,H32&lt;=15,10%,H32&lt;=20,15%,H32&gt;20,20%)</f>
        <v>0</v>
      </c>
      <c r="L32" s="5">
        <f t="shared" si="0"/>
        <v>4600</v>
      </c>
      <c r="M32" s="5" cm="1">
        <f t="array" ref="M32">L32*_xlfn.IFS(L32&lt;=5000,0.02,L32&lt;=15000,0.04,L32&gt;15000,0.06)</f>
        <v>92</v>
      </c>
      <c r="N32" s="5">
        <f t="shared" si="1"/>
        <v>1320</v>
      </c>
      <c r="O32" s="8">
        <f t="shared" si="2"/>
        <v>0.28695652173913044</v>
      </c>
    </row>
    <row r="33" spans="1:15" x14ac:dyDescent="0.45">
      <c r="A33" t="s">
        <v>105</v>
      </c>
      <c r="B33" s="4">
        <v>45449</v>
      </c>
      <c r="C33" t="s">
        <v>51</v>
      </c>
      <c r="D33" t="s">
        <v>19</v>
      </c>
      <c r="E33" t="s">
        <v>23</v>
      </c>
      <c r="F33" t="str">
        <f>_xlfn.XLOOKUP(C33,Salespeople!$A$2:$A$11,Salespeople!$C$2:$C$11)</f>
        <v>Americas</v>
      </c>
      <c r="G33" t="str">
        <f>_xlfn.XLOOKUP(C33,Salespeople!$A$2:$A$11,Salespeople!$D$2:$D$11)</f>
        <v>Mexico</v>
      </c>
      <c r="H33">
        <v>19</v>
      </c>
      <c r="I33" s="5">
        <f>_xlfn.XLOOKUP($D33,Products!$A$2:$A$16,Products!$D$2:$D$16)</f>
        <v>25</v>
      </c>
      <c r="J33" s="5">
        <f>_xlfn.XLOOKUP(Sales!$D33,Products!$A$2:$A$16,Products!$E$2:$E$16)</f>
        <v>11</v>
      </c>
      <c r="K33" s="8" cm="1">
        <f t="array" ref="K33">_xlfn.IFS(H33&lt;=5,0%,H33&lt;=10,5%,H33&lt;=15,10%,H33&lt;=20,15%,H33&gt;20,20%)</f>
        <v>0.15</v>
      </c>
      <c r="L33" s="5">
        <f t="shared" si="0"/>
        <v>403.75</v>
      </c>
      <c r="M33" s="5" cm="1">
        <f t="array" ref="M33">L33*_xlfn.IFS(L33&lt;=5000,0.02,L33&lt;=15000,0.04,L33&gt;15000,0.06)</f>
        <v>8.0749999999999993</v>
      </c>
      <c r="N33" s="5">
        <f t="shared" si="1"/>
        <v>194.75</v>
      </c>
      <c r="O33" s="8">
        <f t="shared" si="2"/>
        <v>0.4823529411764706</v>
      </c>
    </row>
    <row r="34" spans="1:15" x14ac:dyDescent="0.45">
      <c r="A34" t="s">
        <v>106</v>
      </c>
      <c r="B34" s="4">
        <v>45335</v>
      </c>
      <c r="C34" t="s">
        <v>60</v>
      </c>
      <c r="D34" t="s">
        <v>68</v>
      </c>
      <c r="E34" t="s">
        <v>23</v>
      </c>
      <c r="F34" t="str">
        <f>_xlfn.XLOOKUP(C34,Salespeople!$A$2:$A$11,Salespeople!$C$2:$C$11)</f>
        <v>APAC</v>
      </c>
      <c r="G34" t="str">
        <f>_xlfn.XLOOKUP(C34,Salespeople!$A$2:$A$11,Salespeople!$D$2:$D$11)</f>
        <v>Japan</v>
      </c>
      <c r="H34">
        <v>25</v>
      </c>
      <c r="I34" s="5">
        <f>_xlfn.XLOOKUP($D34,Products!$A$2:$A$16,Products!$D$2:$D$16)</f>
        <v>110</v>
      </c>
      <c r="J34" s="5">
        <f>_xlfn.XLOOKUP(Sales!$D34,Products!$A$2:$A$16,Products!$E$2:$E$16)</f>
        <v>55</v>
      </c>
      <c r="K34" s="8" cm="1">
        <f t="array" ref="K34">_xlfn.IFS(H34&lt;=5,0%,H34&lt;=10,5%,H34&lt;=15,10%,H34&lt;=20,15%,H34&gt;20,20%)</f>
        <v>0.2</v>
      </c>
      <c r="L34" s="5">
        <f t="shared" si="0"/>
        <v>2200</v>
      </c>
      <c r="M34" s="5" cm="1">
        <f t="array" ref="M34">L34*_xlfn.IFS(L34&lt;=5000,0.02,L34&lt;=15000,0.04,L34&gt;15000,0.06)</f>
        <v>44</v>
      </c>
      <c r="N34" s="5">
        <f t="shared" si="1"/>
        <v>825</v>
      </c>
      <c r="O34" s="8">
        <f t="shared" si="2"/>
        <v>0.375</v>
      </c>
    </row>
    <row r="35" spans="1:15" x14ac:dyDescent="0.45">
      <c r="A35" t="s">
        <v>107</v>
      </c>
      <c r="B35" s="4">
        <v>45357</v>
      </c>
      <c r="C35" t="s">
        <v>60</v>
      </c>
      <c r="D35" t="s">
        <v>62</v>
      </c>
      <c r="E35" t="s">
        <v>23</v>
      </c>
      <c r="F35" t="str">
        <f>_xlfn.XLOOKUP(C35,Salespeople!$A$2:$A$11,Salespeople!$C$2:$C$11)</f>
        <v>APAC</v>
      </c>
      <c r="G35" t="str">
        <f>_xlfn.XLOOKUP(C35,Salespeople!$A$2:$A$11,Salespeople!$D$2:$D$11)</f>
        <v>Japan</v>
      </c>
      <c r="H35">
        <v>9</v>
      </c>
      <c r="I35" s="5">
        <f>_xlfn.XLOOKUP($D35,Products!$A$2:$A$16,Products!$D$2:$D$16)</f>
        <v>1750</v>
      </c>
      <c r="J35" s="5">
        <f>_xlfn.XLOOKUP(Sales!$D35,Products!$A$2:$A$16,Products!$E$2:$E$16)</f>
        <v>1300</v>
      </c>
      <c r="K35" s="8" cm="1">
        <f t="array" ref="K35">_xlfn.IFS(H35&lt;=5,0%,H35&lt;=10,5%,H35&lt;=15,10%,H35&lt;=20,15%,H35&gt;20,20%)</f>
        <v>0.05</v>
      </c>
      <c r="L35" s="5">
        <f t="shared" si="0"/>
        <v>14962.5</v>
      </c>
      <c r="M35" s="5" cm="1">
        <f t="array" ref="M35">L35*_xlfn.IFS(L35&lt;=5000,0.02,L35&lt;=15000,0.04,L35&gt;15000,0.06)</f>
        <v>598.5</v>
      </c>
      <c r="N35" s="5">
        <f t="shared" si="1"/>
        <v>3262.5</v>
      </c>
      <c r="O35" s="8">
        <f t="shared" si="2"/>
        <v>0.21804511278195488</v>
      </c>
    </row>
    <row r="36" spans="1:15" x14ac:dyDescent="0.45">
      <c r="A36" t="s">
        <v>108</v>
      </c>
      <c r="B36" s="4">
        <v>45400</v>
      </c>
      <c r="C36" t="s">
        <v>38</v>
      </c>
      <c r="D36" t="s">
        <v>53</v>
      </c>
      <c r="E36" t="s">
        <v>14</v>
      </c>
      <c r="F36" t="str">
        <f>_xlfn.XLOOKUP(C36,Salespeople!$A$2:$A$11,Salespeople!$C$2:$C$11)</f>
        <v>Americas</v>
      </c>
      <c r="G36" t="str">
        <f>_xlfn.XLOOKUP(C36,Salespeople!$A$2:$A$11,Salespeople!$D$2:$D$11)</f>
        <v>Brazil</v>
      </c>
      <c r="H36">
        <v>23</v>
      </c>
      <c r="I36" s="5">
        <f>_xlfn.XLOOKUP($D36,Products!$A$2:$A$16,Products!$D$2:$D$16)</f>
        <v>130</v>
      </c>
      <c r="J36" s="5">
        <f>_xlfn.XLOOKUP(Sales!$D36,Products!$A$2:$A$16,Products!$E$2:$E$16)</f>
        <v>62</v>
      </c>
      <c r="K36" s="8" cm="1">
        <f t="array" ref="K36">_xlfn.IFS(H36&lt;=5,0%,H36&lt;=10,5%,H36&lt;=15,10%,H36&lt;=20,15%,H36&gt;20,20%)</f>
        <v>0.2</v>
      </c>
      <c r="L36" s="5">
        <f t="shared" si="0"/>
        <v>2392</v>
      </c>
      <c r="M36" s="5" cm="1">
        <f t="array" ref="M36">L36*_xlfn.IFS(L36&lt;=5000,0.02,L36&lt;=15000,0.04,L36&gt;15000,0.06)</f>
        <v>47.84</v>
      </c>
      <c r="N36" s="5">
        <f t="shared" si="1"/>
        <v>966</v>
      </c>
      <c r="O36" s="8">
        <f t="shared" si="2"/>
        <v>0.40384615384615385</v>
      </c>
    </row>
    <row r="37" spans="1:15" x14ac:dyDescent="0.45">
      <c r="A37" t="s">
        <v>109</v>
      </c>
      <c r="B37" s="4">
        <v>45657</v>
      </c>
      <c r="C37" t="s">
        <v>66</v>
      </c>
      <c r="D37" t="s">
        <v>44</v>
      </c>
      <c r="E37" t="s">
        <v>14</v>
      </c>
      <c r="F37" t="str">
        <f>_xlfn.XLOOKUP(C37,Salespeople!$A$2:$A$11,Salespeople!$C$2:$C$11)</f>
        <v>Americas</v>
      </c>
      <c r="G37" t="str">
        <f>_xlfn.XLOOKUP(C37,Salespeople!$A$2:$A$11,Salespeople!$D$2:$D$11)</f>
        <v>United States</v>
      </c>
      <c r="H37">
        <v>21</v>
      </c>
      <c r="I37" s="5">
        <f>_xlfn.XLOOKUP($D37,Products!$A$2:$A$16,Products!$D$2:$D$16)</f>
        <v>180</v>
      </c>
      <c r="J37" s="5">
        <f>_xlfn.XLOOKUP(Sales!$D37,Products!$A$2:$A$16,Products!$E$2:$E$16)</f>
        <v>105</v>
      </c>
      <c r="K37" s="8" cm="1">
        <f t="array" ref="K37">_xlfn.IFS(H37&lt;=5,0%,H37&lt;=10,5%,H37&lt;=15,10%,H37&lt;=20,15%,H37&gt;20,20%)</f>
        <v>0.2</v>
      </c>
      <c r="L37" s="5">
        <f t="shared" si="0"/>
        <v>3024</v>
      </c>
      <c r="M37" s="5" cm="1">
        <f t="array" ref="M37">L37*_xlfn.IFS(L37&lt;=5000,0.02,L37&lt;=15000,0.04,L37&gt;15000,0.06)</f>
        <v>60.480000000000004</v>
      </c>
      <c r="N37" s="5">
        <f t="shared" si="1"/>
        <v>819</v>
      </c>
      <c r="O37" s="8">
        <f t="shared" si="2"/>
        <v>0.27083333333333331</v>
      </c>
    </row>
    <row r="38" spans="1:15" x14ac:dyDescent="0.45">
      <c r="A38" t="s">
        <v>110</v>
      </c>
      <c r="B38" s="4">
        <v>45516</v>
      </c>
      <c r="C38" t="s">
        <v>38</v>
      </c>
      <c r="D38" t="s">
        <v>103</v>
      </c>
      <c r="E38" t="s">
        <v>23</v>
      </c>
      <c r="F38" t="str">
        <f>_xlfn.XLOOKUP(C38,Salespeople!$A$2:$A$11,Salespeople!$C$2:$C$11)</f>
        <v>Americas</v>
      </c>
      <c r="G38" t="str">
        <f>_xlfn.XLOOKUP(C38,Salespeople!$A$2:$A$11,Salespeople!$D$2:$D$11)</f>
        <v>Brazil</v>
      </c>
      <c r="H38">
        <v>8</v>
      </c>
      <c r="I38" s="5">
        <f>_xlfn.XLOOKUP($D38,Products!$A$2:$A$16,Products!$D$2:$D$16)</f>
        <v>1150</v>
      </c>
      <c r="J38" s="5">
        <f>_xlfn.XLOOKUP(Sales!$D38,Products!$A$2:$A$16,Products!$E$2:$E$16)</f>
        <v>820</v>
      </c>
      <c r="K38" s="8" cm="1">
        <f t="array" ref="K38">_xlfn.IFS(H38&lt;=5,0%,H38&lt;=10,5%,H38&lt;=15,10%,H38&lt;=20,15%,H38&gt;20,20%)</f>
        <v>0.05</v>
      </c>
      <c r="L38" s="5">
        <f t="shared" si="0"/>
        <v>8740</v>
      </c>
      <c r="M38" s="5" cm="1">
        <f t="array" ref="M38">L38*_xlfn.IFS(L38&lt;=5000,0.02,L38&lt;=15000,0.04,L38&gt;15000,0.06)</f>
        <v>349.6</v>
      </c>
      <c r="N38" s="5">
        <f t="shared" si="1"/>
        <v>2180</v>
      </c>
      <c r="O38" s="8">
        <f t="shared" si="2"/>
        <v>0.2494279176201373</v>
      </c>
    </row>
    <row r="39" spans="1:15" x14ac:dyDescent="0.45">
      <c r="A39" t="s">
        <v>111</v>
      </c>
      <c r="B39" s="4">
        <v>45324</v>
      </c>
      <c r="C39" t="s">
        <v>83</v>
      </c>
      <c r="D39" t="s">
        <v>19</v>
      </c>
      <c r="E39" t="s">
        <v>14</v>
      </c>
      <c r="F39" t="str">
        <f>_xlfn.XLOOKUP(C39,Salespeople!$A$2:$A$11,Salespeople!$C$2:$C$11)</f>
        <v>EMEA</v>
      </c>
      <c r="G39" t="str">
        <f>_xlfn.XLOOKUP(C39,Salespeople!$A$2:$A$11,Salespeople!$D$2:$D$11)</f>
        <v>United Arab Emirates</v>
      </c>
      <c r="H39">
        <v>18</v>
      </c>
      <c r="I39" s="5">
        <f>_xlfn.XLOOKUP($D39,Products!$A$2:$A$16,Products!$D$2:$D$16)</f>
        <v>25</v>
      </c>
      <c r="J39" s="5">
        <f>_xlfn.XLOOKUP(Sales!$D39,Products!$A$2:$A$16,Products!$E$2:$E$16)</f>
        <v>11</v>
      </c>
      <c r="K39" s="8" cm="1">
        <f t="array" ref="K39">_xlfn.IFS(H39&lt;=5,0%,H39&lt;=10,5%,H39&lt;=15,10%,H39&lt;=20,15%,H39&gt;20,20%)</f>
        <v>0.15</v>
      </c>
      <c r="L39" s="5">
        <f t="shared" si="0"/>
        <v>382.5</v>
      </c>
      <c r="M39" s="5" cm="1">
        <f t="array" ref="M39">L39*_xlfn.IFS(L39&lt;=5000,0.02,L39&lt;=15000,0.04,L39&gt;15000,0.06)</f>
        <v>7.65</v>
      </c>
      <c r="N39" s="5">
        <f t="shared" si="1"/>
        <v>184.5</v>
      </c>
      <c r="O39" s="8">
        <f t="shared" si="2"/>
        <v>0.4823529411764706</v>
      </c>
    </row>
    <row r="40" spans="1:15" x14ac:dyDescent="0.45">
      <c r="A40" t="s">
        <v>112</v>
      </c>
      <c r="B40" s="4">
        <v>45593</v>
      </c>
      <c r="C40" t="s">
        <v>51</v>
      </c>
      <c r="D40" t="s">
        <v>19</v>
      </c>
      <c r="E40" t="s">
        <v>23</v>
      </c>
      <c r="F40" t="str">
        <f>_xlfn.XLOOKUP(C40,Salespeople!$A$2:$A$11,Salespeople!$C$2:$C$11)</f>
        <v>Americas</v>
      </c>
      <c r="G40" t="str">
        <f>_xlfn.XLOOKUP(C40,Salespeople!$A$2:$A$11,Salespeople!$D$2:$D$11)</f>
        <v>Mexico</v>
      </c>
      <c r="H40">
        <v>23</v>
      </c>
      <c r="I40" s="5">
        <f>_xlfn.XLOOKUP($D40,Products!$A$2:$A$16,Products!$D$2:$D$16)</f>
        <v>25</v>
      </c>
      <c r="J40" s="5">
        <f>_xlfn.XLOOKUP(Sales!$D40,Products!$A$2:$A$16,Products!$E$2:$E$16)</f>
        <v>11</v>
      </c>
      <c r="K40" s="8" cm="1">
        <f t="array" ref="K40">_xlfn.IFS(H40&lt;=5,0%,H40&lt;=10,5%,H40&lt;=15,10%,H40&lt;=20,15%,H40&gt;20,20%)</f>
        <v>0.2</v>
      </c>
      <c r="L40" s="5">
        <f t="shared" si="0"/>
        <v>460</v>
      </c>
      <c r="M40" s="5" cm="1">
        <f t="array" ref="M40">L40*_xlfn.IFS(L40&lt;=5000,0.02,L40&lt;=15000,0.04,L40&gt;15000,0.06)</f>
        <v>9.2000000000000011</v>
      </c>
      <c r="N40" s="5">
        <f t="shared" si="1"/>
        <v>207</v>
      </c>
      <c r="O40" s="8">
        <f t="shared" si="2"/>
        <v>0.45</v>
      </c>
    </row>
    <row r="41" spans="1:15" x14ac:dyDescent="0.45">
      <c r="A41" t="s">
        <v>113</v>
      </c>
      <c r="B41" s="4">
        <v>45409</v>
      </c>
      <c r="C41" t="s">
        <v>17</v>
      </c>
      <c r="D41" t="s">
        <v>91</v>
      </c>
      <c r="E41" t="s">
        <v>23</v>
      </c>
      <c r="F41" t="str">
        <f>_xlfn.XLOOKUP(C41,Salespeople!$A$2:$A$11,Salespeople!$C$2:$C$11)</f>
        <v>EMEA</v>
      </c>
      <c r="G41" t="str">
        <f>_xlfn.XLOOKUP(C41,Salespeople!$A$2:$A$11,Salespeople!$D$2:$D$11)</f>
        <v>Portugal</v>
      </c>
      <c r="H41">
        <v>11</v>
      </c>
      <c r="I41" s="5">
        <f>_xlfn.XLOOKUP($D41,Products!$A$2:$A$16,Products!$D$2:$D$16)</f>
        <v>160</v>
      </c>
      <c r="J41" s="5">
        <f>_xlfn.XLOOKUP(Sales!$D41,Products!$A$2:$A$16,Products!$E$2:$E$16)</f>
        <v>88</v>
      </c>
      <c r="K41" s="8" cm="1">
        <f t="array" ref="K41">_xlfn.IFS(H41&lt;=5,0%,H41&lt;=10,5%,H41&lt;=15,10%,H41&lt;=20,15%,H41&gt;20,20%)</f>
        <v>0.1</v>
      </c>
      <c r="L41" s="5">
        <f t="shared" si="0"/>
        <v>1584</v>
      </c>
      <c r="M41" s="5" cm="1">
        <f t="array" ref="M41">L41*_xlfn.IFS(L41&lt;=5000,0.02,L41&lt;=15000,0.04,L41&gt;15000,0.06)</f>
        <v>31.68</v>
      </c>
      <c r="N41" s="5">
        <f t="shared" si="1"/>
        <v>616</v>
      </c>
      <c r="O41" s="8">
        <f t="shared" si="2"/>
        <v>0.3888888888888889</v>
      </c>
    </row>
    <row r="42" spans="1:15" x14ac:dyDescent="0.45">
      <c r="A42" t="s">
        <v>114</v>
      </c>
      <c r="B42" s="4">
        <v>45555</v>
      </c>
      <c r="C42" t="s">
        <v>51</v>
      </c>
      <c r="D42" t="s">
        <v>79</v>
      </c>
      <c r="E42" t="s">
        <v>14</v>
      </c>
      <c r="F42" t="str">
        <f>_xlfn.XLOOKUP(C42,Salespeople!$A$2:$A$11,Salespeople!$C$2:$C$11)</f>
        <v>Americas</v>
      </c>
      <c r="G42" t="str">
        <f>_xlfn.XLOOKUP(C42,Salespeople!$A$2:$A$11,Salespeople!$D$2:$D$11)</f>
        <v>Mexico</v>
      </c>
      <c r="H42">
        <v>16</v>
      </c>
      <c r="I42" s="5">
        <f>_xlfn.XLOOKUP($D42,Products!$A$2:$A$16,Products!$D$2:$D$16)</f>
        <v>240</v>
      </c>
      <c r="J42" s="5">
        <f>_xlfn.XLOOKUP(Sales!$D42,Products!$A$2:$A$16,Products!$E$2:$E$16)</f>
        <v>150</v>
      </c>
      <c r="K42" s="8" cm="1">
        <f t="array" ref="K42">_xlfn.IFS(H42&lt;=5,0%,H42&lt;=10,5%,H42&lt;=15,10%,H42&lt;=20,15%,H42&gt;20,20%)</f>
        <v>0.15</v>
      </c>
      <c r="L42" s="5">
        <f t="shared" si="0"/>
        <v>3264</v>
      </c>
      <c r="M42" s="5" cm="1">
        <f t="array" ref="M42">L42*_xlfn.IFS(L42&lt;=5000,0.02,L42&lt;=15000,0.04,L42&gt;15000,0.06)</f>
        <v>65.28</v>
      </c>
      <c r="N42" s="5">
        <f t="shared" si="1"/>
        <v>864</v>
      </c>
      <c r="O42" s="8">
        <f t="shared" si="2"/>
        <v>0.26470588235294118</v>
      </c>
    </row>
    <row r="43" spans="1:15" x14ac:dyDescent="0.45">
      <c r="A43" t="s">
        <v>115</v>
      </c>
      <c r="B43" s="4">
        <v>45568</v>
      </c>
      <c r="C43" t="s">
        <v>26</v>
      </c>
      <c r="D43" t="s">
        <v>28</v>
      </c>
      <c r="E43" t="s">
        <v>14</v>
      </c>
      <c r="F43" t="str">
        <f>_xlfn.XLOOKUP(C43,Salespeople!$A$2:$A$11,Salespeople!$C$2:$C$11)</f>
        <v>APAC</v>
      </c>
      <c r="G43" t="str">
        <f>_xlfn.XLOOKUP(C43,Salespeople!$A$2:$A$11,Salespeople!$D$2:$D$11)</f>
        <v>Singapore</v>
      </c>
      <c r="H43">
        <v>19</v>
      </c>
      <c r="I43" s="5">
        <f>_xlfn.XLOOKUP($D43,Products!$A$2:$A$16,Products!$D$2:$D$16)</f>
        <v>95</v>
      </c>
      <c r="J43" s="5">
        <f>_xlfn.XLOOKUP(Sales!$D43,Products!$A$2:$A$16,Products!$E$2:$E$16)</f>
        <v>44</v>
      </c>
      <c r="K43" s="8" cm="1">
        <f t="array" ref="K43">_xlfn.IFS(H43&lt;=5,0%,H43&lt;=10,5%,H43&lt;=15,10%,H43&lt;=20,15%,H43&gt;20,20%)</f>
        <v>0.15</v>
      </c>
      <c r="L43" s="5">
        <f t="shared" si="0"/>
        <v>1534.25</v>
      </c>
      <c r="M43" s="5" cm="1">
        <f t="array" ref="M43">L43*_xlfn.IFS(L43&lt;=5000,0.02,L43&lt;=15000,0.04,L43&gt;15000,0.06)</f>
        <v>30.685000000000002</v>
      </c>
      <c r="N43" s="5">
        <f t="shared" si="1"/>
        <v>698.25</v>
      </c>
      <c r="O43" s="8">
        <f t="shared" si="2"/>
        <v>0.45510835913312692</v>
      </c>
    </row>
    <row r="44" spans="1:15" x14ac:dyDescent="0.45">
      <c r="A44" t="s">
        <v>116</v>
      </c>
      <c r="B44" s="4">
        <v>45416</v>
      </c>
      <c r="C44" t="s">
        <v>60</v>
      </c>
      <c r="D44" t="s">
        <v>53</v>
      </c>
      <c r="E44" t="s">
        <v>48</v>
      </c>
      <c r="F44" t="str">
        <f>_xlfn.XLOOKUP(C44,Salespeople!$A$2:$A$11,Salespeople!$C$2:$C$11)</f>
        <v>APAC</v>
      </c>
      <c r="G44" t="str">
        <f>_xlfn.XLOOKUP(C44,Salespeople!$A$2:$A$11,Salespeople!$D$2:$D$11)</f>
        <v>Japan</v>
      </c>
      <c r="H44">
        <v>7</v>
      </c>
      <c r="I44" s="5">
        <f>_xlfn.XLOOKUP($D44,Products!$A$2:$A$16,Products!$D$2:$D$16)</f>
        <v>130</v>
      </c>
      <c r="J44" s="5">
        <f>_xlfn.XLOOKUP(Sales!$D44,Products!$A$2:$A$16,Products!$E$2:$E$16)</f>
        <v>62</v>
      </c>
      <c r="K44" s="8" cm="1">
        <f t="array" ref="K44">_xlfn.IFS(H44&lt;=5,0%,H44&lt;=10,5%,H44&lt;=15,10%,H44&lt;=20,15%,H44&gt;20,20%)</f>
        <v>0.05</v>
      </c>
      <c r="L44" s="5">
        <f t="shared" si="0"/>
        <v>864.5</v>
      </c>
      <c r="M44" s="5" cm="1">
        <f t="array" ref="M44">L44*_xlfn.IFS(L44&lt;=5000,0.02,L44&lt;=15000,0.04,L44&gt;15000,0.06)</f>
        <v>17.29</v>
      </c>
      <c r="N44" s="5">
        <f t="shared" si="1"/>
        <v>430.5</v>
      </c>
      <c r="O44" s="8">
        <f t="shared" si="2"/>
        <v>0.49797570850202427</v>
      </c>
    </row>
    <row r="45" spans="1:15" x14ac:dyDescent="0.45">
      <c r="A45" t="s">
        <v>117</v>
      </c>
      <c r="B45" s="4">
        <v>45341</v>
      </c>
      <c r="C45" t="s">
        <v>33</v>
      </c>
      <c r="D45" t="s">
        <v>56</v>
      </c>
      <c r="E45" t="s">
        <v>48</v>
      </c>
      <c r="F45" t="str">
        <f>_xlfn.XLOOKUP(C45,Salespeople!$A$2:$A$11,Salespeople!$C$2:$C$11)</f>
        <v>EMEA</v>
      </c>
      <c r="G45" t="str">
        <f>_xlfn.XLOOKUP(C45,Salespeople!$A$2:$A$11,Salespeople!$D$2:$D$11)</f>
        <v>Kenya</v>
      </c>
      <c r="H45">
        <v>14</v>
      </c>
      <c r="I45" s="5">
        <f>_xlfn.XLOOKUP($D45,Products!$A$2:$A$16,Products!$D$2:$D$16)</f>
        <v>520</v>
      </c>
      <c r="J45" s="5">
        <f>_xlfn.XLOOKUP(Sales!$D45,Products!$A$2:$A$16,Products!$E$2:$E$16)</f>
        <v>360</v>
      </c>
      <c r="K45" s="8" cm="1">
        <f t="array" ref="K45">_xlfn.IFS(H45&lt;=5,0%,H45&lt;=10,5%,H45&lt;=15,10%,H45&lt;=20,15%,H45&gt;20,20%)</f>
        <v>0.1</v>
      </c>
      <c r="L45" s="5">
        <f t="shared" si="0"/>
        <v>6552</v>
      </c>
      <c r="M45" s="5" cm="1">
        <f t="array" ref="M45">L45*_xlfn.IFS(L45&lt;=5000,0.02,L45&lt;=15000,0.04,L45&gt;15000,0.06)</f>
        <v>262.08</v>
      </c>
      <c r="N45" s="5">
        <f t="shared" si="1"/>
        <v>1512</v>
      </c>
      <c r="O45" s="8">
        <f t="shared" si="2"/>
        <v>0.23076923076923078</v>
      </c>
    </row>
    <row r="46" spans="1:15" x14ac:dyDescent="0.45">
      <c r="A46" t="s">
        <v>118</v>
      </c>
      <c r="B46" s="4">
        <v>45319</v>
      </c>
      <c r="C46" t="s">
        <v>17</v>
      </c>
      <c r="D46" t="s">
        <v>19</v>
      </c>
      <c r="E46" t="s">
        <v>48</v>
      </c>
      <c r="F46" t="str">
        <f>_xlfn.XLOOKUP(C46,Salespeople!$A$2:$A$11,Salespeople!$C$2:$C$11)</f>
        <v>EMEA</v>
      </c>
      <c r="G46" t="str">
        <f>_xlfn.XLOOKUP(C46,Salespeople!$A$2:$A$11,Salespeople!$D$2:$D$11)</f>
        <v>Portugal</v>
      </c>
      <c r="H46">
        <v>24</v>
      </c>
      <c r="I46" s="5">
        <f>_xlfn.XLOOKUP($D46,Products!$A$2:$A$16,Products!$D$2:$D$16)</f>
        <v>25</v>
      </c>
      <c r="J46" s="5">
        <f>_xlfn.XLOOKUP(Sales!$D46,Products!$A$2:$A$16,Products!$E$2:$E$16)</f>
        <v>11</v>
      </c>
      <c r="K46" s="8" cm="1">
        <f t="array" ref="K46">_xlfn.IFS(H46&lt;=5,0%,H46&lt;=10,5%,H46&lt;=15,10%,H46&lt;=20,15%,H46&gt;20,20%)</f>
        <v>0.2</v>
      </c>
      <c r="L46" s="5">
        <f t="shared" si="0"/>
        <v>480</v>
      </c>
      <c r="M46" s="5" cm="1">
        <f t="array" ref="M46">L46*_xlfn.IFS(L46&lt;=5000,0.02,L46&lt;=15000,0.04,L46&gt;15000,0.06)</f>
        <v>9.6</v>
      </c>
      <c r="N46" s="5">
        <f t="shared" si="1"/>
        <v>216</v>
      </c>
      <c r="O46" s="8">
        <f t="shared" si="2"/>
        <v>0.45</v>
      </c>
    </row>
    <row r="47" spans="1:15" x14ac:dyDescent="0.45">
      <c r="A47" t="s">
        <v>119</v>
      </c>
      <c r="B47" s="4">
        <v>45347</v>
      </c>
      <c r="C47" t="s">
        <v>51</v>
      </c>
      <c r="D47" t="s">
        <v>88</v>
      </c>
      <c r="E47" t="s">
        <v>23</v>
      </c>
      <c r="F47" t="str">
        <f>_xlfn.XLOOKUP(C47,Salespeople!$A$2:$A$11,Salespeople!$C$2:$C$11)</f>
        <v>Americas</v>
      </c>
      <c r="G47" t="str">
        <f>_xlfn.XLOOKUP(C47,Salespeople!$A$2:$A$11,Salespeople!$D$2:$D$11)</f>
        <v>Mexico</v>
      </c>
      <c r="H47">
        <v>18</v>
      </c>
      <c r="I47" s="5">
        <f>_xlfn.XLOOKUP($D47,Products!$A$2:$A$16,Products!$D$2:$D$16)</f>
        <v>35</v>
      </c>
      <c r="J47" s="5">
        <f>_xlfn.XLOOKUP(Sales!$D47,Products!$A$2:$A$16,Products!$E$2:$E$16)</f>
        <v>14</v>
      </c>
      <c r="K47" s="8" cm="1">
        <f t="array" ref="K47">_xlfn.IFS(H47&lt;=5,0%,H47&lt;=10,5%,H47&lt;=15,10%,H47&lt;=20,15%,H47&gt;20,20%)</f>
        <v>0.15</v>
      </c>
      <c r="L47" s="5">
        <f t="shared" si="0"/>
        <v>535.5</v>
      </c>
      <c r="M47" s="5" cm="1">
        <f t="array" ref="M47">L47*_xlfn.IFS(L47&lt;=5000,0.02,L47&lt;=15000,0.04,L47&gt;15000,0.06)</f>
        <v>10.71</v>
      </c>
      <c r="N47" s="5">
        <f t="shared" si="1"/>
        <v>283.5</v>
      </c>
      <c r="O47" s="8">
        <f t="shared" si="2"/>
        <v>0.52941176470588236</v>
      </c>
    </row>
    <row r="48" spans="1:15" x14ac:dyDescent="0.45">
      <c r="A48" t="s">
        <v>120</v>
      </c>
      <c r="B48" s="4">
        <v>45363</v>
      </c>
      <c r="C48" t="s">
        <v>33</v>
      </c>
      <c r="D48" t="s">
        <v>121</v>
      </c>
      <c r="E48" t="s">
        <v>48</v>
      </c>
      <c r="F48" t="str">
        <f>_xlfn.XLOOKUP(C48,Salespeople!$A$2:$A$11,Salespeople!$C$2:$C$11)</f>
        <v>EMEA</v>
      </c>
      <c r="G48" t="str">
        <f>_xlfn.XLOOKUP(C48,Salespeople!$A$2:$A$11,Salespeople!$D$2:$D$11)</f>
        <v>Kenya</v>
      </c>
      <c r="H48">
        <v>15</v>
      </c>
      <c r="I48" s="5">
        <f>_xlfn.XLOOKUP($D48,Products!$A$2:$A$16,Products!$D$2:$D$16)</f>
        <v>45</v>
      </c>
      <c r="J48" s="5">
        <f>_xlfn.XLOOKUP(Sales!$D48,Products!$A$2:$A$16,Products!$E$2:$E$16)</f>
        <v>19</v>
      </c>
      <c r="K48" s="8" cm="1">
        <f t="array" ref="K48">_xlfn.IFS(H48&lt;=5,0%,H48&lt;=10,5%,H48&lt;=15,10%,H48&lt;=20,15%,H48&gt;20,20%)</f>
        <v>0.1</v>
      </c>
      <c r="L48" s="5">
        <f t="shared" si="0"/>
        <v>607.5</v>
      </c>
      <c r="M48" s="5" cm="1">
        <f t="array" ref="M48">L48*_xlfn.IFS(L48&lt;=5000,0.02,L48&lt;=15000,0.04,L48&gt;15000,0.06)</f>
        <v>12.15</v>
      </c>
      <c r="N48" s="5">
        <f t="shared" si="1"/>
        <v>322.5</v>
      </c>
      <c r="O48" s="8">
        <f t="shared" si="2"/>
        <v>0.53086419753086422</v>
      </c>
    </row>
    <row r="49" spans="1:15" x14ac:dyDescent="0.45">
      <c r="A49" t="s">
        <v>123</v>
      </c>
      <c r="B49" s="4">
        <v>45330</v>
      </c>
      <c r="C49" t="s">
        <v>60</v>
      </c>
      <c r="D49" t="s">
        <v>53</v>
      </c>
      <c r="E49" t="s">
        <v>14</v>
      </c>
      <c r="F49" t="str">
        <f>_xlfn.XLOOKUP(C49,Salespeople!$A$2:$A$11,Salespeople!$C$2:$C$11)</f>
        <v>APAC</v>
      </c>
      <c r="G49" t="str">
        <f>_xlfn.XLOOKUP(C49,Salespeople!$A$2:$A$11,Salespeople!$D$2:$D$11)</f>
        <v>Japan</v>
      </c>
      <c r="H49">
        <v>4</v>
      </c>
      <c r="I49" s="5">
        <f>_xlfn.XLOOKUP($D49,Products!$A$2:$A$16,Products!$D$2:$D$16)</f>
        <v>130</v>
      </c>
      <c r="J49" s="5">
        <f>_xlfn.XLOOKUP(Sales!$D49,Products!$A$2:$A$16,Products!$E$2:$E$16)</f>
        <v>62</v>
      </c>
      <c r="K49" s="8" cm="1">
        <f t="array" ref="K49">_xlfn.IFS(H49&lt;=5,0%,H49&lt;=10,5%,H49&lt;=15,10%,H49&lt;=20,15%,H49&gt;20,20%)</f>
        <v>0</v>
      </c>
      <c r="L49" s="5">
        <f t="shared" si="0"/>
        <v>520</v>
      </c>
      <c r="M49" s="5" cm="1">
        <f t="array" ref="M49">L49*_xlfn.IFS(L49&lt;=5000,0.02,L49&lt;=15000,0.04,L49&gt;15000,0.06)</f>
        <v>10.4</v>
      </c>
      <c r="N49" s="5">
        <f t="shared" si="1"/>
        <v>272</v>
      </c>
      <c r="O49" s="8">
        <f t="shared" si="2"/>
        <v>0.52307692307692311</v>
      </c>
    </row>
    <row r="50" spans="1:15" x14ac:dyDescent="0.45">
      <c r="A50" t="s">
        <v>124</v>
      </c>
      <c r="B50" s="4">
        <v>45625</v>
      </c>
      <c r="C50" t="s">
        <v>38</v>
      </c>
      <c r="D50" t="s">
        <v>68</v>
      </c>
      <c r="E50" t="s">
        <v>23</v>
      </c>
      <c r="F50" t="str">
        <f>_xlfn.XLOOKUP(C50,Salespeople!$A$2:$A$11,Salespeople!$C$2:$C$11)</f>
        <v>Americas</v>
      </c>
      <c r="G50" t="str">
        <f>_xlfn.XLOOKUP(C50,Salespeople!$A$2:$A$11,Salespeople!$D$2:$D$11)</f>
        <v>Brazil</v>
      </c>
      <c r="H50">
        <v>3</v>
      </c>
      <c r="I50" s="5">
        <f>_xlfn.XLOOKUP($D50,Products!$A$2:$A$16,Products!$D$2:$D$16)</f>
        <v>110</v>
      </c>
      <c r="J50" s="5">
        <f>_xlfn.XLOOKUP(Sales!$D50,Products!$A$2:$A$16,Products!$E$2:$E$16)</f>
        <v>55</v>
      </c>
      <c r="K50" s="8" cm="1">
        <f t="array" ref="K50">_xlfn.IFS(H50&lt;=5,0%,H50&lt;=10,5%,H50&lt;=15,10%,H50&lt;=20,15%,H50&gt;20,20%)</f>
        <v>0</v>
      </c>
      <c r="L50" s="5">
        <f t="shared" si="0"/>
        <v>330</v>
      </c>
      <c r="M50" s="5" cm="1">
        <f t="array" ref="M50">L50*_xlfn.IFS(L50&lt;=5000,0.02,L50&lt;=15000,0.04,L50&gt;15000,0.06)</f>
        <v>6.6000000000000005</v>
      </c>
      <c r="N50" s="5">
        <f t="shared" si="1"/>
        <v>165</v>
      </c>
      <c r="O50" s="8">
        <f t="shared" si="2"/>
        <v>0.5</v>
      </c>
    </row>
    <row r="51" spans="1:15" x14ac:dyDescent="0.45">
      <c r="A51" t="s">
        <v>125</v>
      </c>
      <c r="B51" s="4">
        <v>45377</v>
      </c>
      <c r="C51" t="s">
        <v>33</v>
      </c>
      <c r="D51" t="s">
        <v>103</v>
      </c>
      <c r="E51" t="s">
        <v>48</v>
      </c>
      <c r="F51" t="str">
        <f>_xlfn.XLOOKUP(C51,Salespeople!$A$2:$A$11,Salespeople!$C$2:$C$11)</f>
        <v>EMEA</v>
      </c>
      <c r="G51" t="str">
        <f>_xlfn.XLOOKUP(C51,Salespeople!$A$2:$A$11,Salespeople!$D$2:$D$11)</f>
        <v>Kenya</v>
      </c>
      <c r="H51">
        <v>7</v>
      </c>
      <c r="I51" s="5">
        <f>_xlfn.XLOOKUP($D51,Products!$A$2:$A$16,Products!$D$2:$D$16)</f>
        <v>1150</v>
      </c>
      <c r="J51" s="5">
        <f>_xlfn.XLOOKUP(Sales!$D51,Products!$A$2:$A$16,Products!$E$2:$E$16)</f>
        <v>820</v>
      </c>
      <c r="K51" s="8" cm="1">
        <f t="array" ref="K51">_xlfn.IFS(H51&lt;=5,0%,H51&lt;=10,5%,H51&lt;=15,10%,H51&lt;=20,15%,H51&gt;20,20%)</f>
        <v>0.05</v>
      </c>
      <c r="L51" s="5">
        <f t="shared" si="0"/>
        <v>7647.5</v>
      </c>
      <c r="M51" s="5" cm="1">
        <f t="array" ref="M51">L51*_xlfn.IFS(L51&lt;=5000,0.02,L51&lt;=15000,0.04,L51&gt;15000,0.06)</f>
        <v>305.90000000000003</v>
      </c>
      <c r="N51" s="5">
        <f t="shared" si="1"/>
        <v>1907.5</v>
      </c>
      <c r="O51" s="8">
        <f t="shared" si="2"/>
        <v>0.2494279176201373</v>
      </c>
    </row>
    <row r="52" spans="1:15" x14ac:dyDescent="0.45">
      <c r="A52" t="s">
        <v>126</v>
      </c>
      <c r="B52" s="4">
        <v>45322</v>
      </c>
      <c r="C52" t="s">
        <v>26</v>
      </c>
      <c r="D52" t="s">
        <v>44</v>
      </c>
      <c r="E52" t="s">
        <v>23</v>
      </c>
      <c r="F52" t="str">
        <f>_xlfn.XLOOKUP(C52,Salespeople!$A$2:$A$11,Salespeople!$C$2:$C$11)</f>
        <v>APAC</v>
      </c>
      <c r="G52" t="str">
        <f>_xlfn.XLOOKUP(C52,Salespeople!$A$2:$A$11,Salespeople!$D$2:$D$11)</f>
        <v>Singapore</v>
      </c>
      <c r="H52">
        <v>13</v>
      </c>
      <c r="I52" s="5">
        <f>_xlfn.XLOOKUP($D52,Products!$A$2:$A$16,Products!$D$2:$D$16)</f>
        <v>180</v>
      </c>
      <c r="J52" s="5">
        <f>_xlfn.XLOOKUP(Sales!$D52,Products!$A$2:$A$16,Products!$E$2:$E$16)</f>
        <v>105</v>
      </c>
      <c r="K52" s="8" cm="1">
        <f t="array" ref="K52">_xlfn.IFS(H52&lt;=5,0%,H52&lt;=10,5%,H52&lt;=15,10%,H52&lt;=20,15%,H52&gt;20,20%)</f>
        <v>0.1</v>
      </c>
      <c r="L52" s="5">
        <f t="shared" si="0"/>
        <v>2106</v>
      </c>
      <c r="M52" s="5" cm="1">
        <f t="array" ref="M52">L52*_xlfn.IFS(L52&lt;=5000,0.02,L52&lt;=15000,0.04,L52&gt;15000,0.06)</f>
        <v>42.12</v>
      </c>
      <c r="N52" s="5">
        <f t="shared" si="1"/>
        <v>741</v>
      </c>
      <c r="O52" s="8">
        <f t="shared" si="2"/>
        <v>0.35185185185185186</v>
      </c>
    </row>
    <row r="53" spans="1:15" x14ac:dyDescent="0.45">
      <c r="A53" t="s">
        <v>127</v>
      </c>
      <c r="B53" s="4">
        <v>45524</v>
      </c>
      <c r="C53" t="s">
        <v>66</v>
      </c>
      <c r="D53" t="s">
        <v>44</v>
      </c>
      <c r="E53" t="s">
        <v>14</v>
      </c>
      <c r="F53" t="str">
        <f>_xlfn.XLOOKUP(C53,Salespeople!$A$2:$A$11,Salespeople!$C$2:$C$11)</f>
        <v>Americas</v>
      </c>
      <c r="G53" t="str">
        <f>_xlfn.XLOOKUP(C53,Salespeople!$A$2:$A$11,Salespeople!$D$2:$D$11)</f>
        <v>United States</v>
      </c>
      <c r="H53">
        <v>24</v>
      </c>
      <c r="I53" s="5">
        <f>_xlfn.XLOOKUP($D53,Products!$A$2:$A$16,Products!$D$2:$D$16)</f>
        <v>180</v>
      </c>
      <c r="J53" s="5">
        <f>_xlfn.XLOOKUP(Sales!$D53,Products!$A$2:$A$16,Products!$E$2:$E$16)</f>
        <v>105</v>
      </c>
      <c r="K53" s="8" cm="1">
        <f t="array" ref="K53">_xlfn.IFS(H53&lt;=5,0%,H53&lt;=10,5%,H53&lt;=15,10%,H53&lt;=20,15%,H53&gt;20,20%)</f>
        <v>0.2</v>
      </c>
      <c r="L53" s="5">
        <f t="shared" si="0"/>
        <v>3456</v>
      </c>
      <c r="M53" s="5" cm="1">
        <f t="array" ref="M53">L53*_xlfn.IFS(L53&lt;=5000,0.02,L53&lt;=15000,0.04,L53&gt;15000,0.06)</f>
        <v>69.12</v>
      </c>
      <c r="N53" s="5">
        <f t="shared" si="1"/>
        <v>936</v>
      </c>
      <c r="O53" s="8">
        <f t="shared" si="2"/>
        <v>0.27083333333333331</v>
      </c>
    </row>
    <row r="54" spans="1:15" x14ac:dyDescent="0.45">
      <c r="A54" t="s">
        <v>128</v>
      </c>
      <c r="B54" s="4">
        <v>45371</v>
      </c>
      <c r="C54" t="s">
        <v>51</v>
      </c>
      <c r="D54" t="s">
        <v>79</v>
      </c>
      <c r="E54" t="s">
        <v>23</v>
      </c>
      <c r="F54" t="str">
        <f>_xlfn.XLOOKUP(C54,Salespeople!$A$2:$A$11,Salespeople!$C$2:$C$11)</f>
        <v>Americas</v>
      </c>
      <c r="G54" t="str">
        <f>_xlfn.XLOOKUP(C54,Salespeople!$A$2:$A$11,Salespeople!$D$2:$D$11)</f>
        <v>Mexico</v>
      </c>
      <c r="H54">
        <v>2</v>
      </c>
      <c r="I54" s="5">
        <f>_xlfn.XLOOKUP($D54,Products!$A$2:$A$16,Products!$D$2:$D$16)</f>
        <v>240</v>
      </c>
      <c r="J54" s="5">
        <f>_xlfn.XLOOKUP(Sales!$D54,Products!$A$2:$A$16,Products!$E$2:$E$16)</f>
        <v>150</v>
      </c>
      <c r="K54" s="8" cm="1">
        <f t="array" ref="K54">_xlfn.IFS(H54&lt;=5,0%,H54&lt;=10,5%,H54&lt;=15,10%,H54&lt;=20,15%,H54&gt;20,20%)</f>
        <v>0</v>
      </c>
      <c r="L54" s="5">
        <f t="shared" si="0"/>
        <v>480</v>
      </c>
      <c r="M54" s="5" cm="1">
        <f t="array" ref="M54">L54*_xlfn.IFS(L54&lt;=5000,0.02,L54&lt;=15000,0.04,L54&gt;15000,0.06)</f>
        <v>9.6</v>
      </c>
      <c r="N54" s="5">
        <f t="shared" si="1"/>
        <v>180</v>
      </c>
      <c r="O54" s="8">
        <f t="shared" si="2"/>
        <v>0.375</v>
      </c>
    </row>
    <row r="55" spans="1:15" x14ac:dyDescent="0.45">
      <c r="A55" t="s">
        <v>129</v>
      </c>
      <c r="B55" s="4">
        <v>45452</v>
      </c>
      <c r="C55" t="s">
        <v>131</v>
      </c>
      <c r="D55" t="s">
        <v>19</v>
      </c>
      <c r="E55" t="s">
        <v>14</v>
      </c>
      <c r="F55" t="str">
        <f>_xlfn.XLOOKUP(C55,Salespeople!$A$2:$A$11,Salespeople!$C$2:$C$11)</f>
        <v>EMEA</v>
      </c>
      <c r="G55" t="str">
        <f>_xlfn.XLOOKUP(C55,Salespeople!$A$2:$A$11,Salespeople!$D$2:$D$11)</f>
        <v>United Kingdom</v>
      </c>
      <c r="H55">
        <v>16</v>
      </c>
      <c r="I55" s="5">
        <f>_xlfn.XLOOKUP($D55,Products!$A$2:$A$16,Products!$D$2:$D$16)</f>
        <v>25</v>
      </c>
      <c r="J55" s="5">
        <f>_xlfn.XLOOKUP(Sales!$D55,Products!$A$2:$A$16,Products!$E$2:$E$16)</f>
        <v>11</v>
      </c>
      <c r="K55" s="8" cm="1">
        <f t="array" ref="K55">_xlfn.IFS(H55&lt;=5,0%,H55&lt;=10,5%,H55&lt;=15,10%,H55&lt;=20,15%,H55&gt;20,20%)</f>
        <v>0.15</v>
      </c>
      <c r="L55" s="5">
        <f t="shared" si="0"/>
        <v>340</v>
      </c>
      <c r="M55" s="5" cm="1">
        <f t="array" ref="M55">L55*_xlfn.IFS(L55&lt;=5000,0.02,L55&lt;=15000,0.04,L55&gt;15000,0.06)</f>
        <v>6.8</v>
      </c>
      <c r="N55" s="5">
        <f t="shared" si="1"/>
        <v>164</v>
      </c>
      <c r="O55" s="8">
        <f t="shared" si="2"/>
        <v>0.4823529411764706</v>
      </c>
    </row>
    <row r="56" spans="1:15" x14ac:dyDescent="0.45">
      <c r="A56" t="s">
        <v>133</v>
      </c>
      <c r="B56" s="4">
        <v>45321</v>
      </c>
      <c r="C56" t="s">
        <v>38</v>
      </c>
      <c r="D56" t="s">
        <v>134</v>
      </c>
      <c r="E56" t="s">
        <v>23</v>
      </c>
      <c r="F56" t="str">
        <f>_xlfn.XLOOKUP(C56,Salespeople!$A$2:$A$11,Salespeople!$C$2:$C$11)</f>
        <v>Americas</v>
      </c>
      <c r="G56" t="str">
        <f>_xlfn.XLOOKUP(C56,Salespeople!$A$2:$A$11,Salespeople!$D$2:$D$11)</f>
        <v>Brazil</v>
      </c>
      <c r="H56">
        <v>3</v>
      </c>
      <c r="I56" s="5">
        <f>_xlfn.XLOOKUP($D56,Products!$A$2:$A$16,Products!$D$2:$D$16)</f>
        <v>79</v>
      </c>
      <c r="J56" s="5">
        <f>_xlfn.XLOOKUP(Sales!$D56,Products!$A$2:$A$16,Products!$E$2:$E$16)</f>
        <v>38</v>
      </c>
      <c r="K56" s="8" cm="1">
        <f t="array" ref="K56">_xlfn.IFS(H56&lt;=5,0%,H56&lt;=10,5%,H56&lt;=15,10%,H56&lt;=20,15%,H56&gt;20,20%)</f>
        <v>0</v>
      </c>
      <c r="L56" s="5">
        <f t="shared" si="0"/>
        <v>237</v>
      </c>
      <c r="M56" s="5" cm="1">
        <f t="array" ref="M56">L56*_xlfn.IFS(L56&lt;=5000,0.02,L56&lt;=15000,0.04,L56&gt;15000,0.06)</f>
        <v>4.74</v>
      </c>
      <c r="N56" s="5">
        <f t="shared" si="1"/>
        <v>123</v>
      </c>
      <c r="O56" s="8">
        <f t="shared" si="2"/>
        <v>0.51898734177215189</v>
      </c>
    </row>
    <row r="57" spans="1:15" x14ac:dyDescent="0.45">
      <c r="A57" t="s">
        <v>136</v>
      </c>
      <c r="B57" s="4">
        <v>45637</v>
      </c>
      <c r="C57" t="s">
        <v>51</v>
      </c>
      <c r="D57" t="s">
        <v>44</v>
      </c>
      <c r="E57" t="s">
        <v>23</v>
      </c>
      <c r="F57" t="str">
        <f>_xlfn.XLOOKUP(C57,Salespeople!$A$2:$A$11,Salespeople!$C$2:$C$11)</f>
        <v>Americas</v>
      </c>
      <c r="G57" t="str">
        <f>_xlfn.XLOOKUP(C57,Salespeople!$A$2:$A$11,Salespeople!$D$2:$D$11)</f>
        <v>Mexico</v>
      </c>
      <c r="H57">
        <v>19</v>
      </c>
      <c r="I57" s="5">
        <f>_xlfn.XLOOKUP($D57,Products!$A$2:$A$16,Products!$D$2:$D$16)</f>
        <v>180</v>
      </c>
      <c r="J57" s="5">
        <f>_xlfn.XLOOKUP(Sales!$D57,Products!$A$2:$A$16,Products!$E$2:$E$16)</f>
        <v>105</v>
      </c>
      <c r="K57" s="8" cm="1">
        <f t="array" ref="K57">_xlfn.IFS(H57&lt;=5,0%,H57&lt;=10,5%,H57&lt;=15,10%,H57&lt;=20,15%,H57&gt;20,20%)</f>
        <v>0.15</v>
      </c>
      <c r="L57" s="5">
        <f t="shared" si="0"/>
        <v>2907</v>
      </c>
      <c r="M57" s="5" cm="1">
        <f t="array" ref="M57">L57*_xlfn.IFS(L57&lt;=5000,0.02,L57&lt;=15000,0.04,L57&gt;15000,0.06)</f>
        <v>58.14</v>
      </c>
      <c r="N57" s="5">
        <f t="shared" si="1"/>
        <v>912</v>
      </c>
      <c r="O57" s="8">
        <f t="shared" si="2"/>
        <v>0.31372549019607843</v>
      </c>
    </row>
    <row r="58" spans="1:15" x14ac:dyDescent="0.45">
      <c r="A58" t="s">
        <v>137</v>
      </c>
      <c r="B58" s="4">
        <v>45588</v>
      </c>
      <c r="C58" t="s">
        <v>139</v>
      </c>
      <c r="D58" t="s">
        <v>19</v>
      </c>
      <c r="E58" t="s">
        <v>14</v>
      </c>
      <c r="F58" t="str">
        <f>_xlfn.XLOOKUP(C58,Salespeople!$A$2:$A$11,Salespeople!$C$2:$C$11)</f>
        <v>Americas</v>
      </c>
      <c r="G58" t="str">
        <f>_xlfn.XLOOKUP(C58,Salespeople!$A$2:$A$11,Salespeople!$D$2:$D$11)</f>
        <v>Canada</v>
      </c>
      <c r="H58">
        <v>3</v>
      </c>
      <c r="I58" s="5">
        <f>_xlfn.XLOOKUP($D58,Products!$A$2:$A$16,Products!$D$2:$D$16)</f>
        <v>25</v>
      </c>
      <c r="J58" s="5">
        <f>_xlfn.XLOOKUP(Sales!$D58,Products!$A$2:$A$16,Products!$E$2:$E$16)</f>
        <v>11</v>
      </c>
      <c r="K58" s="8" cm="1">
        <f t="array" ref="K58">_xlfn.IFS(H58&lt;=5,0%,H58&lt;=10,5%,H58&lt;=15,10%,H58&lt;=20,15%,H58&gt;20,20%)</f>
        <v>0</v>
      </c>
      <c r="L58" s="5">
        <f t="shared" si="0"/>
        <v>75</v>
      </c>
      <c r="M58" s="5" cm="1">
        <f t="array" ref="M58">L58*_xlfn.IFS(L58&lt;=5000,0.02,L58&lt;=15000,0.04,L58&gt;15000,0.06)</f>
        <v>1.5</v>
      </c>
      <c r="N58" s="5">
        <f t="shared" si="1"/>
        <v>42</v>
      </c>
      <c r="O58" s="8">
        <f t="shared" si="2"/>
        <v>0.56000000000000005</v>
      </c>
    </row>
    <row r="59" spans="1:15" x14ac:dyDescent="0.45">
      <c r="A59" t="s">
        <v>141</v>
      </c>
      <c r="B59" s="4">
        <v>45628</v>
      </c>
      <c r="C59" t="s">
        <v>139</v>
      </c>
      <c r="D59" t="s">
        <v>40</v>
      </c>
      <c r="E59" t="s">
        <v>14</v>
      </c>
      <c r="F59" t="str">
        <f>_xlfn.XLOOKUP(C59,Salespeople!$A$2:$A$11,Salespeople!$C$2:$C$11)</f>
        <v>Americas</v>
      </c>
      <c r="G59" t="str">
        <f>_xlfn.XLOOKUP(C59,Salespeople!$A$2:$A$11,Salespeople!$D$2:$D$11)</f>
        <v>Canada</v>
      </c>
      <c r="H59">
        <v>11</v>
      </c>
      <c r="I59" s="5">
        <f>_xlfn.XLOOKUP($D59,Products!$A$2:$A$16,Products!$D$2:$D$16)</f>
        <v>1050</v>
      </c>
      <c r="J59" s="5">
        <f>_xlfn.XLOOKUP(Sales!$D59,Products!$A$2:$A$16,Products!$E$2:$E$16)</f>
        <v>760</v>
      </c>
      <c r="K59" s="8" cm="1">
        <f t="array" ref="K59">_xlfn.IFS(H59&lt;=5,0%,H59&lt;=10,5%,H59&lt;=15,10%,H59&lt;=20,15%,H59&gt;20,20%)</f>
        <v>0.1</v>
      </c>
      <c r="L59" s="5">
        <f t="shared" si="0"/>
        <v>10395</v>
      </c>
      <c r="M59" s="5" cm="1">
        <f t="array" ref="M59">L59*_xlfn.IFS(L59&lt;=5000,0.02,L59&lt;=15000,0.04,L59&gt;15000,0.06)</f>
        <v>415.8</v>
      </c>
      <c r="N59" s="5">
        <f t="shared" si="1"/>
        <v>2035</v>
      </c>
      <c r="O59" s="8">
        <f t="shared" si="2"/>
        <v>0.19576719576719576</v>
      </c>
    </row>
    <row r="60" spans="1:15" x14ac:dyDescent="0.45">
      <c r="A60" t="s">
        <v>142</v>
      </c>
      <c r="B60" s="4">
        <v>45396</v>
      </c>
      <c r="C60" t="s">
        <v>83</v>
      </c>
      <c r="D60" t="s">
        <v>88</v>
      </c>
      <c r="E60" t="s">
        <v>48</v>
      </c>
      <c r="F60" t="str">
        <f>_xlfn.XLOOKUP(C60,Salespeople!$A$2:$A$11,Salespeople!$C$2:$C$11)</f>
        <v>EMEA</v>
      </c>
      <c r="G60" t="str">
        <f>_xlfn.XLOOKUP(C60,Salespeople!$A$2:$A$11,Salespeople!$D$2:$D$11)</f>
        <v>United Arab Emirates</v>
      </c>
      <c r="H60">
        <v>13</v>
      </c>
      <c r="I60" s="5">
        <f>_xlfn.XLOOKUP($D60,Products!$A$2:$A$16,Products!$D$2:$D$16)</f>
        <v>35</v>
      </c>
      <c r="J60" s="5">
        <f>_xlfn.XLOOKUP(Sales!$D60,Products!$A$2:$A$16,Products!$E$2:$E$16)</f>
        <v>14</v>
      </c>
      <c r="K60" s="8" cm="1">
        <f t="array" ref="K60">_xlfn.IFS(H60&lt;=5,0%,H60&lt;=10,5%,H60&lt;=15,10%,H60&lt;=20,15%,H60&gt;20,20%)</f>
        <v>0.1</v>
      </c>
      <c r="L60" s="5">
        <f t="shared" si="0"/>
        <v>409.5</v>
      </c>
      <c r="M60" s="5" cm="1">
        <f t="array" ref="M60">L60*_xlfn.IFS(L60&lt;=5000,0.02,L60&lt;=15000,0.04,L60&gt;15000,0.06)</f>
        <v>8.19</v>
      </c>
      <c r="N60" s="5">
        <f t="shared" si="1"/>
        <v>227.5</v>
      </c>
      <c r="O60" s="8">
        <f t="shared" si="2"/>
        <v>0.55555555555555558</v>
      </c>
    </row>
    <row r="61" spans="1:15" x14ac:dyDescent="0.45">
      <c r="A61" t="s">
        <v>143</v>
      </c>
      <c r="B61" s="4">
        <v>45635</v>
      </c>
      <c r="C61" t="s">
        <v>66</v>
      </c>
      <c r="D61" t="s">
        <v>103</v>
      </c>
      <c r="E61" t="s">
        <v>48</v>
      </c>
      <c r="F61" t="str">
        <f>_xlfn.XLOOKUP(C61,Salespeople!$A$2:$A$11,Salespeople!$C$2:$C$11)</f>
        <v>Americas</v>
      </c>
      <c r="G61" t="str">
        <f>_xlfn.XLOOKUP(C61,Salespeople!$A$2:$A$11,Salespeople!$D$2:$D$11)</f>
        <v>United States</v>
      </c>
      <c r="H61">
        <v>25</v>
      </c>
      <c r="I61" s="5">
        <f>_xlfn.XLOOKUP($D61,Products!$A$2:$A$16,Products!$D$2:$D$16)</f>
        <v>1150</v>
      </c>
      <c r="J61" s="5">
        <f>_xlfn.XLOOKUP(Sales!$D61,Products!$A$2:$A$16,Products!$E$2:$E$16)</f>
        <v>820</v>
      </c>
      <c r="K61" s="8" cm="1">
        <f t="array" ref="K61">_xlfn.IFS(H61&lt;=5,0%,H61&lt;=10,5%,H61&lt;=15,10%,H61&lt;=20,15%,H61&gt;20,20%)</f>
        <v>0.2</v>
      </c>
      <c r="L61" s="5">
        <f t="shared" si="0"/>
        <v>23000</v>
      </c>
      <c r="M61" s="5" cm="1">
        <f t="array" ref="M61">L61*_xlfn.IFS(L61&lt;=5000,0.02,L61&lt;=15000,0.04,L61&gt;15000,0.06)</f>
        <v>1380</v>
      </c>
      <c r="N61" s="5">
        <f t="shared" si="1"/>
        <v>2500</v>
      </c>
      <c r="O61" s="8">
        <f t="shared" si="2"/>
        <v>0.10869565217391304</v>
      </c>
    </row>
    <row r="62" spans="1:15" x14ac:dyDescent="0.45">
      <c r="A62" t="s">
        <v>144</v>
      </c>
      <c r="B62" s="4">
        <v>45296</v>
      </c>
      <c r="C62" t="s">
        <v>60</v>
      </c>
      <c r="D62" t="s">
        <v>40</v>
      </c>
      <c r="E62" t="s">
        <v>14</v>
      </c>
      <c r="F62" t="str">
        <f>_xlfn.XLOOKUP(C62,Salespeople!$A$2:$A$11,Salespeople!$C$2:$C$11)</f>
        <v>APAC</v>
      </c>
      <c r="G62" t="str">
        <f>_xlfn.XLOOKUP(C62,Salespeople!$A$2:$A$11,Salespeople!$D$2:$D$11)</f>
        <v>Japan</v>
      </c>
      <c r="H62">
        <v>4</v>
      </c>
      <c r="I62" s="5">
        <f>_xlfn.XLOOKUP($D62,Products!$A$2:$A$16,Products!$D$2:$D$16)</f>
        <v>1050</v>
      </c>
      <c r="J62" s="5">
        <f>_xlfn.XLOOKUP(Sales!$D62,Products!$A$2:$A$16,Products!$E$2:$E$16)</f>
        <v>760</v>
      </c>
      <c r="K62" s="8" cm="1">
        <f t="array" ref="K62">_xlfn.IFS(H62&lt;=5,0%,H62&lt;=10,5%,H62&lt;=15,10%,H62&lt;=20,15%,H62&gt;20,20%)</f>
        <v>0</v>
      </c>
      <c r="L62" s="5">
        <f t="shared" si="0"/>
        <v>4200</v>
      </c>
      <c r="M62" s="5" cm="1">
        <f t="array" ref="M62">L62*_xlfn.IFS(L62&lt;=5000,0.02,L62&lt;=15000,0.04,L62&gt;15000,0.06)</f>
        <v>84</v>
      </c>
      <c r="N62" s="5">
        <f t="shared" si="1"/>
        <v>1160</v>
      </c>
      <c r="O62" s="8">
        <f t="shared" si="2"/>
        <v>0.27619047619047621</v>
      </c>
    </row>
    <row r="63" spans="1:15" x14ac:dyDescent="0.45">
      <c r="A63" t="s">
        <v>145</v>
      </c>
      <c r="B63" s="4">
        <v>45567</v>
      </c>
      <c r="C63" t="s">
        <v>51</v>
      </c>
      <c r="D63" t="s">
        <v>62</v>
      </c>
      <c r="E63" t="s">
        <v>48</v>
      </c>
      <c r="F63" t="str">
        <f>_xlfn.XLOOKUP(C63,Salespeople!$A$2:$A$11,Salespeople!$C$2:$C$11)</f>
        <v>Americas</v>
      </c>
      <c r="G63" t="str">
        <f>_xlfn.XLOOKUP(C63,Salespeople!$A$2:$A$11,Salespeople!$D$2:$D$11)</f>
        <v>Mexico</v>
      </c>
      <c r="H63">
        <v>5</v>
      </c>
      <c r="I63" s="5">
        <f>_xlfn.XLOOKUP($D63,Products!$A$2:$A$16,Products!$D$2:$D$16)</f>
        <v>1750</v>
      </c>
      <c r="J63" s="5">
        <f>_xlfn.XLOOKUP(Sales!$D63,Products!$A$2:$A$16,Products!$E$2:$E$16)</f>
        <v>1300</v>
      </c>
      <c r="K63" s="8" cm="1">
        <f t="array" ref="K63">_xlfn.IFS(H63&lt;=5,0%,H63&lt;=10,5%,H63&lt;=15,10%,H63&lt;=20,15%,H63&gt;20,20%)</f>
        <v>0</v>
      </c>
      <c r="L63" s="5">
        <f t="shared" si="0"/>
        <v>8750</v>
      </c>
      <c r="M63" s="5" cm="1">
        <f t="array" ref="M63">L63*_xlfn.IFS(L63&lt;=5000,0.02,L63&lt;=15000,0.04,L63&gt;15000,0.06)</f>
        <v>350</v>
      </c>
      <c r="N63" s="5">
        <f t="shared" si="1"/>
        <v>2250</v>
      </c>
      <c r="O63" s="8">
        <f t="shared" si="2"/>
        <v>0.25714285714285712</v>
      </c>
    </row>
    <row r="64" spans="1:15" x14ac:dyDescent="0.45">
      <c r="A64" t="s">
        <v>146</v>
      </c>
      <c r="B64" s="4">
        <v>45327</v>
      </c>
      <c r="C64" t="s">
        <v>51</v>
      </c>
      <c r="D64" t="s">
        <v>56</v>
      </c>
      <c r="E64" t="s">
        <v>48</v>
      </c>
      <c r="F64" t="str">
        <f>_xlfn.XLOOKUP(C64,Salespeople!$A$2:$A$11,Salespeople!$C$2:$C$11)</f>
        <v>Americas</v>
      </c>
      <c r="G64" t="str">
        <f>_xlfn.XLOOKUP(C64,Salespeople!$A$2:$A$11,Salespeople!$D$2:$D$11)</f>
        <v>Mexico</v>
      </c>
      <c r="H64">
        <v>6</v>
      </c>
      <c r="I64" s="5">
        <f>_xlfn.XLOOKUP($D64,Products!$A$2:$A$16,Products!$D$2:$D$16)</f>
        <v>520</v>
      </c>
      <c r="J64" s="5">
        <f>_xlfn.XLOOKUP(Sales!$D64,Products!$A$2:$A$16,Products!$E$2:$E$16)</f>
        <v>360</v>
      </c>
      <c r="K64" s="8" cm="1">
        <f t="array" ref="K64">_xlfn.IFS(H64&lt;=5,0%,H64&lt;=10,5%,H64&lt;=15,10%,H64&lt;=20,15%,H64&gt;20,20%)</f>
        <v>0.05</v>
      </c>
      <c r="L64" s="5">
        <f t="shared" si="0"/>
        <v>2964</v>
      </c>
      <c r="M64" s="5" cm="1">
        <f t="array" ref="M64">L64*_xlfn.IFS(L64&lt;=5000,0.02,L64&lt;=15000,0.04,L64&gt;15000,0.06)</f>
        <v>59.28</v>
      </c>
      <c r="N64" s="5">
        <f t="shared" si="1"/>
        <v>804</v>
      </c>
      <c r="O64" s="8">
        <f t="shared" si="2"/>
        <v>0.27125506072874495</v>
      </c>
    </row>
    <row r="65" spans="1:15" x14ac:dyDescent="0.45">
      <c r="A65" t="s">
        <v>147</v>
      </c>
      <c r="B65" s="4">
        <v>45570</v>
      </c>
      <c r="C65" t="s">
        <v>66</v>
      </c>
      <c r="D65" t="s">
        <v>40</v>
      </c>
      <c r="E65" t="s">
        <v>14</v>
      </c>
      <c r="F65" t="str">
        <f>_xlfn.XLOOKUP(C65,Salespeople!$A$2:$A$11,Salespeople!$C$2:$C$11)</f>
        <v>Americas</v>
      </c>
      <c r="G65" t="str">
        <f>_xlfn.XLOOKUP(C65,Salespeople!$A$2:$A$11,Salespeople!$D$2:$D$11)</f>
        <v>United States</v>
      </c>
      <c r="H65">
        <v>17</v>
      </c>
      <c r="I65" s="5">
        <f>_xlfn.XLOOKUP($D65,Products!$A$2:$A$16,Products!$D$2:$D$16)</f>
        <v>1050</v>
      </c>
      <c r="J65" s="5">
        <f>_xlfn.XLOOKUP(Sales!$D65,Products!$A$2:$A$16,Products!$E$2:$E$16)</f>
        <v>760</v>
      </c>
      <c r="K65" s="8" cm="1">
        <f t="array" ref="K65">_xlfn.IFS(H65&lt;=5,0%,H65&lt;=10,5%,H65&lt;=15,10%,H65&lt;=20,15%,H65&gt;20,20%)</f>
        <v>0.15</v>
      </c>
      <c r="L65" s="5">
        <f t="shared" si="0"/>
        <v>15172.5</v>
      </c>
      <c r="M65" s="5" cm="1">
        <f t="array" ref="M65">L65*_xlfn.IFS(L65&lt;=5000,0.02,L65&lt;=15000,0.04,L65&gt;15000,0.06)</f>
        <v>910.35</v>
      </c>
      <c r="N65" s="5">
        <f t="shared" si="1"/>
        <v>2252.5</v>
      </c>
      <c r="O65" s="8">
        <f t="shared" si="2"/>
        <v>0.1484593837535014</v>
      </c>
    </row>
    <row r="66" spans="1:15" x14ac:dyDescent="0.45">
      <c r="A66" t="s">
        <v>148</v>
      </c>
      <c r="B66" s="4">
        <v>45633</v>
      </c>
      <c r="C66" t="s">
        <v>38</v>
      </c>
      <c r="D66" t="s">
        <v>79</v>
      </c>
      <c r="E66" t="s">
        <v>14</v>
      </c>
      <c r="F66" t="str">
        <f>_xlfn.XLOOKUP(C66,Salespeople!$A$2:$A$11,Salespeople!$C$2:$C$11)</f>
        <v>Americas</v>
      </c>
      <c r="G66" t="str">
        <f>_xlfn.XLOOKUP(C66,Salespeople!$A$2:$A$11,Salespeople!$D$2:$D$11)</f>
        <v>Brazil</v>
      </c>
      <c r="H66">
        <v>4</v>
      </c>
      <c r="I66" s="5">
        <f>_xlfn.XLOOKUP($D66,Products!$A$2:$A$16,Products!$D$2:$D$16)</f>
        <v>240</v>
      </c>
      <c r="J66" s="5">
        <f>_xlfn.XLOOKUP(Sales!$D66,Products!$A$2:$A$16,Products!$E$2:$E$16)</f>
        <v>150</v>
      </c>
      <c r="K66" s="8" cm="1">
        <f t="array" ref="K66">_xlfn.IFS(H66&lt;=5,0%,H66&lt;=10,5%,H66&lt;=15,10%,H66&lt;=20,15%,H66&gt;20,20%)</f>
        <v>0</v>
      </c>
      <c r="L66" s="5">
        <f t="shared" si="0"/>
        <v>960</v>
      </c>
      <c r="M66" s="5" cm="1">
        <f t="array" ref="M66">L66*_xlfn.IFS(L66&lt;=5000,0.02,L66&lt;=15000,0.04,L66&gt;15000,0.06)</f>
        <v>19.2</v>
      </c>
      <c r="N66" s="5">
        <f t="shared" si="1"/>
        <v>360</v>
      </c>
      <c r="O66" s="8">
        <f t="shared" si="2"/>
        <v>0.375</v>
      </c>
    </row>
    <row r="67" spans="1:15" x14ac:dyDescent="0.45">
      <c r="A67" t="s">
        <v>149</v>
      </c>
      <c r="B67" s="4">
        <v>45427</v>
      </c>
      <c r="C67" t="s">
        <v>17</v>
      </c>
      <c r="D67" t="s">
        <v>91</v>
      </c>
      <c r="E67" t="s">
        <v>23</v>
      </c>
      <c r="F67" t="str">
        <f>_xlfn.XLOOKUP(C67,Salespeople!$A$2:$A$11,Salespeople!$C$2:$C$11)</f>
        <v>EMEA</v>
      </c>
      <c r="G67" t="str">
        <f>_xlfn.XLOOKUP(C67,Salespeople!$A$2:$A$11,Salespeople!$D$2:$D$11)</f>
        <v>Portugal</v>
      </c>
      <c r="H67">
        <v>24</v>
      </c>
      <c r="I67" s="5">
        <f>_xlfn.XLOOKUP($D67,Products!$A$2:$A$16,Products!$D$2:$D$16)</f>
        <v>160</v>
      </c>
      <c r="J67" s="5">
        <f>_xlfn.XLOOKUP(Sales!$D67,Products!$A$2:$A$16,Products!$E$2:$E$16)</f>
        <v>88</v>
      </c>
      <c r="K67" s="8" cm="1">
        <f t="array" ref="K67">_xlfn.IFS(H67&lt;=5,0%,H67&lt;=10,5%,H67&lt;=15,10%,H67&lt;=20,15%,H67&gt;20,20%)</f>
        <v>0.2</v>
      </c>
      <c r="L67" s="5">
        <f t="shared" ref="L67:L130" si="3">H67*I67*(1-K67)</f>
        <v>3072</v>
      </c>
      <c r="M67" s="5" cm="1">
        <f t="array" ref="M67">L67*_xlfn.IFS(L67&lt;=5000,0.02,L67&lt;=15000,0.04,L67&gt;15000,0.06)</f>
        <v>61.44</v>
      </c>
      <c r="N67" s="5">
        <f t="shared" ref="N67:N130" si="4">L67-(H67*J67)</f>
        <v>960</v>
      </c>
      <c r="O67" s="8">
        <f t="shared" ref="O67:O130" si="5">N67/L67</f>
        <v>0.3125</v>
      </c>
    </row>
    <row r="68" spans="1:15" x14ac:dyDescent="0.45">
      <c r="A68" t="s">
        <v>150</v>
      </c>
      <c r="B68" s="4">
        <v>45431</v>
      </c>
      <c r="C68" t="s">
        <v>66</v>
      </c>
      <c r="D68" t="s">
        <v>40</v>
      </c>
      <c r="E68" t="s">
        <v>23</v>
      </c>
      <c r="F68" t="str">
        <f>_xlfn.XLOOKUP(C68,Salespeople!$A$2:$A$11,Salespeople!$C$2:$C$11)</f>
        <v>Americas</v>
      </c>
      <c r="G68" t="str">
        <f>_xlfn.XLOOKUP(C68,Salespeople!$A$2:$A$11,Salespeople!$D$2:$D$11)</f>
        <v>United States</v>
      </c>
      <c r="H68">
        <v>23</v>
      </c>
      <c r="I68" s="5">
        <f>_xlfn.XLOOKUP($D68,Products!$A$2:$A$16,Products!$D$2:$D$16)</f>
        <v>1050</v>
      </c>
      <c r="J68" s="5">
        <f>_xlfn.XLOOKUP(Sales!$D68,Products!$A$2:$A$16,Products!$E$2:$E$16)</f>
        <v>760</v>
      </c>
      <c r="K68" s="8" cm="1">
        <f t="array" ref="K68">_xlfn.IFS(H68&lt;=5,0%,H68&lt;=10,5%,H68&lt;=15,10%,H68&lt;=20,15%,H68&gt;20,20%)</f>
        <v>0.2</v>
      </c>
      <c r="L68" s="5">
        <f t="shared" si="3"/>
        <v>19320</v>
      </c>
      <c r="M68" s="5" cm="1">
        <f t="array" ref="M68">L68*_xlfn.IFS(L68&lt;=5000,0.02,L68&lt;=15000,0.04,L68&gt;15000,0.06)</f>
        <v>1159.2</v>
      </c>
      <c r="N68" s="5">
        <f t="shared" si="4"/>
        <v>1840</v>
      </c>
      <c r="O68" s="8">
        <f t="shared" si="5"/>
        <v>9.5238095238095233E-2</v>
      </c>
    </row>
    <row r="69" spans="1:15" x14ac:dyDescent="0.45">
      <c r="A69" t="s">
        <v>151</v>
      </c>
      <c r="B69" s="4">
        <v>45396</v>
      </c>
      <c r="C69" t="s">
        <v>66</v>
      </c>
      <c r="D69" t="s">
        <v>62</v>
      </c>
      <c r="E69" t="s">
        <v>48</v>
      </c>
      <c r="F69" t="str">
        <f>_xlfn.XLOOKUP(C69,Salespeople!$A$2:$A$11,Salespeople!$C$2:$C$11)</f>
        <v>Americas</v>
      </c>
      <c r="G69" t="str">
        <f>_xlfn.XLOOKUP(C69,Salespeople!$A$2:$A$11,Salespeople!$D$2:$D$11)</f>
        <v>United States</v>
      </c>
      <c r="H69">
        <v>9</v>
      </c>
      <c r="I69" s="5">
        <f>_xlfn.XLOOKUP($D69,Products!$A$2:$A$16,Products!$D$2:$D$16)</f>
        <v>1750</v>
      </c>
      <c r="J69" s="5">
        <f>_xlfn.XLOOKUP(Sales!$D69,Products!$A$2:$A$16,Products!$E$2:$E$16)</f>
        <v>1300</v>
      </c>
      <c r="K69" s="8" cm="1">
        <f t="array" ref="K69">_xlfn.IFS(H69&lt;=5,0%,H69&lt;=10,5%,H69&lt;=15,10%,H69&lt;=20,15%,H69&gt;20,20%)</f>
        <v>0.05</v>
      </c>
      <c r="L69" s="5">
        <f t="shared" si="3"/>
        <v>14962.5</v>
      </c>
      <c r="M69" s="5" cm="1">
        <f t="array" ref="M69">L69*_xlfn.IFS(L69&lt;=5000,0.02,L69&lt;=15000,0.04,L69&gt;15000,0.06)</f>
        <v>598.5</v>
      </c>
      <c r="N69" s="5">
        <f t="shared" si="4"/>
        <v>3262.5</v>
      </c>
      <c r="O69" s="8">
        <f t="shared" si="5"/>
        <v>0.21804511278195488</v>
      </c>
    </row>
    <row r="70" spans="1:15" x14ac:dyDescent="0.45">
      <c r="A70" t="s">
        <v>152</v>
      </c>
      <c r="B70" s="4">
        <v>45339</v>
      </c>
      <c r="C70" t="s">
        <v>33</v>
      </c>
      <c r="D70" t="s">
        <v>68</v>
      </c>
      <c r="E70" t="s">
        <v>48</v>
      </c>
      <c r="F70" t="str">
        <f>_xlfn.XLOOKUP(C70,Salespeople!$A$2:$A$11,Salespeople!$C$2:$C$11)</f>
        <v>EMEA</v>
      </c>
      <c r="G70" t="str">
        <f>_xlfn.XLOOKUP(C70,Salespeople!$A$2:$A$11,Salespeople!$D$2:$D$11)</f>
        <v>Kenya</v>
      </c>
      <c r="H70">
        <v>2</v>
      </c>
      <c r="I70" s="5">
        <f>_xlfn.XLOOKUP($D70,Products!$A$2:$A$16,Products!$D$2:$D$16)</f>
        <v>110</v>
      </c>
      <c r="J70" s="5">
        <f>_xlfn.XLOOKUP(Sales!$D70,Products!$A$2:$A$16,Products!$E$2:$E$16)</f>
        <v>55</v>
      </c>
      <c r="K70" s="8" cm="1">
        <f t="array" ref="K70">_xlfn.IFS(H70&lt;=5,0%,H70&lt;=10,5%,H70&lt;=15,10%,H70&lt;=20,15%,H70&gt;20,20%)</f>
        <v>0</v>
      </c>
      <c r="L70" s="5">
        <f t="shared" si="3"/>
        <v>220</v>
      </c>
      <c r="M70" s="5" cm="1">
        <f t="array" ref="M70">L70*_xlfn.IFS(L70&lt;=5000,0.02,L70&lt;=15000,0.04,L70&gt;15000,0.06)</f>
        <v>4.4000000000000004</v>
      </c>
      <c r="N70" s="5">
        <f t="shared" si="4"/>
        <v>110</v>
      </c>
      <c r="O70" s="8">
        <f t="shared" si="5"/>
        <v>0.5</v>
      </c>
    </row>
    <row r="71" spans="1:15" x14ac:dyDescent="0.45">
      <c r="A71" t="s">
        <v>153</v>
      </c>
      <c r="B71" s="4">
        <v>45462</v>
      </c>
      <c r="C71" t="s">
        <v>26</v>
      </c>
      <c r="D71" t="s">
        <v>74</v>
      </c>
      <c r="E71" t="s">
        <v>48</v>
      </c>
      <c r="F71" t="str">
        <f>_xlfn.XLOOKUP(C71,Salespeople!$A$2:$A$11,Salespeople!$C$2:$C$11)</f>
        <v>APAC</v>
      </c>
      <c r="G71" t="str">
        <f>_xlfn.XLOOKUP(C71,Salespeople!$A$2:$A$11,Salespeople!$D$2:$D$11)</f>
        <v>Singapore</v>
      </c>
      <c r="H71">
        <v>6</v>
      </c>
      <c r="I71" s="5">
        <f>_xlfn.XLOOKUP($D71,Products!$A$2:$A$16,Products!$D$2:$D$16)</f>
        <v>210</v>
      </c>
      <c r="J71" s="5">
        <f>_xlfn.XLOOKUP(Sales!$D71,Products!$A$2:$A$16,Products!$E$2:$E$16)</f>
        <v>120</v>
      </c>
      <c r="K71" s="8" cm="1">
        <f t="array" ref="K71">_xlfn.IFS(H71&lt;=5,0%,H71&lt;=10,5%,H71&lt;=15,10%,H71&lt;=20,15%,H71&gt;20,20%)</f>
        <v>0.05</v>
      </c>
      <c r="L71" s="5">
        <f t="shared" si="3"/>
        <v>1197</v>
      </c>
      <c r="M71" s="5" cm="1">
        <f t="array" ref="M71">L71*_xlfn.IFS(L71&lt;=5000,0.02,L71&lt;=15000,0.04,L71&gt;15000,0.06)</f>
        <v>23.94</v>
      </c>
      <c r="N71" s="5">
        <f t="shared" si="4"/>
        <v>477</v>
      </c>
      <c r="O71" s="8">
        <f t="shared" si="5"/>
        <v>0.39849624060150374</v>
      </c>
    </row>
    <row r="72" spans="1:15" x14ac:dyDescent="0.45">
      <c r="A72" t="s">
        <v>154</v>
      </c>
      <c r="B72" s="4">
        <v>45574</v>
      </c>
      <c r="C72" t="s">
        <v>33</v>
      </c>
      <c r="D72" t="s">
        <v>62</v>
      </c>
      <c r="E72" t="s">
        <v>23</v>
      </c>
      <c r="F72" t="str">
        <f>_xlfn.XLOOKUP(C72,Salespeople!$A$2:$A$11,Salespeople!$C$2:$C$11)</f>
        <v>EMEA</v>
      </c>
      <c r="G72" t="str">
        <f>_xlfn.XLOOKUP(C72,Salespeople!$A$2:$A$11,Salespeople!$D$2:$D$11)</f>
        <v>Kenya</v>
      </c>
      <c r="H72">
        <v>4</v>
      </c>
      <c r="I72" s="5">
        <f>_xlfn.XLOOKUP($D72,Products!$A$2:$A$16,Products!$D$2:$D$16)</f>
        <v>1750</v>
      </c>
      <c r="J72" s="5">
        <f>_xlfn.XLOOKUP(Sales!$D72,Products!$A$2:$A$16,Products!$E$2:$E$16)</f>
        <v>1300</v>
      </c>
      <c r="K72" s="8" cm="1">
        <f t="array" ref="K72">_xlfn.IFS(H72&lt;=5,0%,H72&lt;=10,5%,H72&lt;=15,10%,H72&lt;=20,15%,H72&gt;20,20%)</f>
        <v>0</v>
      </c>
      <c r="L72" s="5">
        <f t="shared" si="3"/>
        <v>7000</v>
      </c>
      <c r="M72" s="5" cm="1">
        <f t="array" ref="M72">L72*_xlfn.IFS(L72&lt;=5000,0.02,L72&lt;=15000,0.04,L72&gt;15000,0.06)</f>
        <v>280</v>
      </c>
      <c r="N72" s="5">
        <f t="shared" si="4"/>
        <v>1800</v>
      </c>
      <c r="O72" s="8">
        <f t="shared" si="5"/>
        <v>0.25714285714285712</v>
      </c>
    </row>
    <row r="73" spans="1:15" x14ac:dyDescent="0.45">
      <c r="A73" t="s">
        <v>155</v>
      </c>
      <c r="B73" s="4">
        <v>45645</v>
      </c>
      <c r="C73" t="s">
        <v>26</v>
      </c>
      <c r="D73" t="s">
        <v>62</v>
      </c>
      <c r="E73" t="s">
        <v>23</v>
      </c>
      <c r="F73" t="str">
        <f>_xlfn.XLOOKUP(C73,Salespeople!$A$2:$A$11,Salespeople!$C$2:$C$11)</f>
        <v>APAC</v>
      </c>
      <c r="G73" t="str">
        <f>_xlfn.XLOOKUP(C73,Salespeople!$A$2:$A$11,Salespeople!$D$2:$D$11)</f>
        <v>Singapore</v>
      </c>
      <c r="H73">
        <v>12</v>
      </c>
      <c r="I73" s="5">
        <f>_xlfn.XLOOKUP($D73,Products!$A$2:$A$16,Products!$D$2:$D$16)</f>
        <v>1750</v>
      </c>
      <c r="J73" s="5">
        <f>_xlfn.XLOOKUP(Sales!$D73,Products!$A$2:$A$16,Products!$E$2:$E$16)</f>
        <v>1300</v>
      </c>
      <c r="K73" s="8" cm="1">
        <f t="array" ref="K73">_xlfn.IFS(H73&lt;=5,0%,H73&lt;=10,5%,H73&lt;=15,10%,H73&lt;=20,15%,H73&gt;20,20%)</f>
        <v>0.1</v>
      </c>
      <c r="L73" s="5">
        <f t="shared" si="3"/>
        <v>18900</v>
      </c>
      <c r="M73" s="5" cm="1">
        <f t="array" ref="M73">L73*_xlfn.IFS(L73&lt;=5000,0.02,L73&lt;=15000,0.04,L73&gt;15000,0.06)</f>
        <v>1134</v>
      </c>
      <c r="N73" s="5">
        <f t="shared" si="4"/>
        <v>3300</v>
      </c>
      <c r="O73" s="8">
        <f t="shared" si="5"/>
        <v>0.17460317460317459</v>
      </c>
    </row>
    <row r="74" spans="1:15" x14ac:dyDescent="0.45">
      <c r="A74" t="s">
        <v>156</v>
      </c>
      <c r="B74" s="4">
        <v>45512</v>
      </c>
      <c r="C74" t="s">
        <v>26</v>
      </c>
      <c r="D74" t="s">
        <v>19</v>
      </c>
      <c r="E74" t="s">
        <v>48</v>
      </c>
      <c r="F74" t="str">
        <f>_xlfn.XLOOKUP(C74,Salespeople!$A$2:$A$11,Salespeople!$C$2:$C$11)</f>
        <v>APAC</v>
      </c>
      <c r="G74" t="str">
        <f>_xlfn.XLOOKUP(C74,Salespeople!$A$2:$A$11,Salespeople!$D$2:$D$11)</f>
        <v>Singapore</v>
      </c>
      <c r="H74">
        <v>12</v>
      </c>
      <c r="I74" s="5">
        <f>_xlfn.XLOOKUP($D74,Products!$A$2:$A$16,Products!$D$2:$D$16)</f>
        <v>25</v>
      </c>
      <c r="J74" s="5">
        <f>_xlfn.XLOOKUP(Sales!$D74,Products!$A$2:$A$16,Products!$E$2:$E$16)</f>
        <v>11</v>
      </c>
      <c r="K74" s="8" cm="1">
        <f t="array" ref="K74">_xlfn.IFS(H74&lt;=5,0%,H74&lt;=10,5%,H74&lt;=15,10%,H74&lt;=20,15%,H74&gt;20,20%)</f>
        <v>0.1</v>
      </c>
      <c r="L74" s="5">
        <f t="shared" si="3"/>
        <v>270</v>
      </c>
      <c r="M74" s="5" cm="1">
        <f t="array" ref="M74">L74*_xlfn.IFS(L74&lt;=5000,0.02,L74&lt;=15000,0.04,L74&gt;15000,0.06)</f>
        <v>5.4</v>
      </c>
      <c r="N74" s="5">
        <f t="shared" si="4"/>
        <v>138</v>
      </c>
      <c r="O74" s="8">
        <f t="shared" si="5"/>
        <v>0.51111111111111107</v>
      </c>
    </row>
    <row r="75" spans="1:15" x14ac:dyDescent="0.45">
      <c r="A75" t="s">
        <v>157</v>
      </c>
      <c r="B75" s="4">
        <v>45475</v>
      </c>
      <c r="C75" t="s">
        <v>51</v>
      </c>
      <c r="D75" t="s">
        <v>74</v>
      </c>
      <c r="E75" t="s">
        <v>23</v>
      </c>
      <c r="F75" t="str">
        <f>_xlfn.XLOOKUP(C75,Salespeople!$A$2:$A$11,Salespeople!$C$2:$C$11)</f>
        <v>Americas</v>
      </c>
      <c r="G75" t="str">
        <f>_xlfn.XLOOKUP(C75,Salespeople!$A$2:$A$11,Salespeople!$D$2:$D$11)</f>
        <v>Mexico</v>
      </c>
      <c r="H75">
        <v>22</v>
      </c>
      <c r="I75" s="5">
        <f>_xlfn.XLOOKUP($D75,Products!$A$2:$A$16,Products!$D$2:$D$16)</f>
        <v>210</v>
      </c>
      <c r="J75" s="5">
        <f>_xlfn.XLOOKUP(Sales!$D75,Products!$A$2:$A$16,Products!$E$2:$E$16)</f>
        <v>120</v>
      </c>
      <c r="K75" s="8" cm="1">
        <f t="array" ref="K75">_xlfn.IFS(H75&lt;=5,0%,H75&lt;=10,5%,H75&lt;=15,10%,H75&lt;=20,15%,H75&gt;20,20%)</f>
        <v>0.2</v>
      </c>
      <c r="L75" s="5">
        <f t="shared" si="3"/>
        <v>3696</v>
      </c>
      <c r="M75" s="5" cm="1">
        <f t="array" ref="M75">L75*_xlfn.IFS(L75&lt;=5000,0.02,L75&lt;=15000,0.04,L75&gt;15000,0.06)</f>
        <v>73.92</v>
      </c>
      <c r="N75" s="5">
        <f t="shared" si="4"/>
        <v>1056</v>
      </c>
      <c r="O75" s="8">
        <f t="shared" si="5"/>
        <v>0.2857142857142857</v>
      </c>
    </row>
    <row r="76" spans="1:15" x14ac:dyDescent="0.45">
      <c r="A76" t="s">
        <v>158</v>
      </c>
      <c r="B76" s="4">
        <v>45473</v>
      </c>
      <c r="C76" t="s">
        <v>38</v>
      </c>
      <c r="D76" t="s">
        <v>91</v>
      </c>
      <c r="E76" t="s">
        <v>48</v>
      </c>
      <c r="F76" t="str">
        <f>_xlfn.XLOOKUP(C76,Salespeople!$A$2:$A$11,Salespeople!$C$2:$C$11)</f>
        <v>Americas</v>
      </c>
      <c r="G76" t="str">
        <f>_xlfn.XLOOKUP(C76,Salespeople!$A$2:$A$11,Salespeople!$D$2:$D$11)</f>
        <v>Brazil</v>
      </c>
      <c r="H76">
        <v>20</v>
      </c>
      <c r="I76" s="5">
        <f>_xlfn.XLOOKUP($D76,Products!$A$2:$A$16,Products!$D$2:$D$16)</f>
        <v>160</v>
      </c>
      <c r="J76" s="5">
        <f>_xlfn.XLOOKUP(Sales!$D76,Products!$A$2:$A$16,Products!$E$2:$E$16)</f>
        <v>88</v>
      </c>
      <c r="K76" s="8" cm="1">
        <f t="array" ref="K76">_xlfn.IFS(H76&lt;=5,0%,H76&lt;=10,5%,H76&lt;=15,10%,H76&lt;=20,15%,H76&gt;20,20%)</f>
        <v>0.15</v>
      </c>
      <c r="L76" s="5">
        <f t="shared" si="3"/>
        <v>2720</v>
      </c>
      <c r="M76" s="5" cm="1">
        <f t="array" ref="M76">L76*_xlfn.IFS(L76&lt;=5000,0.02,L76&lt;=15000,0.04,L76&gt;15000,0.06)</f>
        <v>54.4</v>
      </c>
      <c r="N76" s="5">
        <f t="shared" si="4"/>
        <v>960</v>
      </c>
      <c r="O76" s="8">
        <f t="shared" si="5"/>
        <v>0.35294117647058826</v>
      </c>
    </row>
    <row r="77" spans="1:15" x14ac:dyDescent="0.45">
      <c r="A77" t="s">
        <v>159</v>
      </c>
      <c r="B77" s="4">
        <v>45413</v>
      </c>
      <c r="C77" t="s">
        <v>26</v>
      </c>
      <c r="D77" t="s">
        <v>53</v>
      </c>
      <c r="E77" t="s">
        <v>23</v>
      </c>
      <c r="F77" t="str">
        <f>_xlfn.XLOOKUP(C77,Salespeople!$A$2:$A$11,Salespeople!$C$2:$C$11)</f>
        <v>APAC</v>
      </c>
      <c r="G77" t="str">
        <f>_xlfn.XLOOKUP(C77,Salespeople!$A$2:$A$11,Salespeople!$D$2:$D$11)</f>
        <v>Singapore</v>
      </c>
      <c r="H77">
        <v>14</v>
      </c>
      <c r="I77" s="5">
        <f>_xlfn.XLOOKUP($D77,Products!$A$2:$A$16,Products!$D$2:$D$16)</f>
        <v>130</v>
      </c>
      <c r="J77" s="5">
        <f>_xlfn.XLOOKUP(Sales!$D77,Products!$A$2:$A$16,Products!$E$2:$E$16)</f>
        <v>62</v>
      </c>
      <c r="K77" s="8" cm="1">
        <f t="array" ref="K77">_xlfn.IFS(H77&lt;=5,0%,H77&lt;=10,5%,H77&lt;=15,10%,H77&lt;=20,15%,H77&gt;20,20%)</f>
        <v>0.1</v>
      </c>
      <c r="L77" s="5">
        <f t="shared" si="3"/>
        <v>1638</v>
      </c>
      <c r="M77" s="5" cm="1">
        <f t="array" ref="M77">L77*_xlfn.IFS(L77&lt;=5000,0.02,L77&lt;=15000,0.04,L77&gt;15000,0.06)</f>
        <v>32.76</v>
      </c>
      <c r="N77" s="5">
        <f t="shared" si="4"/>
        <v>770</v>
      </c>
      <c r="O77" s="8">
        <f t="shared" si="5"/>
        <v>0.47008547008547008</v>
      </c>
    </row>
    <row r="78" spans="1:15" x14ac:dyDescent="0.45">
      <c r="A78" t="s">
        <v>160</v>
      </c>
      <c r="B78" s="4">
        <v>45383</v>
      </c>
      <c r="C78" t="s">
        <v>83</v>
      </c>
      <c r="D78" t="s">
        <v>53</v>
      </c>
      <c r="E78" t="s">
        <v>48</v>
      </c>
      <c r="F78" t="str">
        <f>_xlfn.XLOOKUP(C78,Salespeople!$A$2:$A$11,Salespeople!$C$2:$C$11)</f>
        <v>EMEA</v>
      </c>
      <c r="G78" t="str">
        <f>_xlfn.XLOOKUP(C78,Salespeople!$A$2:$A$11,Salespeople!$D$2:$D$11)</f>
        <v>United Arab Emirates</v>
      </c>
      <c r="H78">
        <v>22</v>
      </c>
      <c r="I78" s="5">
        <f>_xlfn.XLOOKUP($D78,Products!$A$2:$A$16,Products!$D$2:$D$16)</f>
        <v>130</v>
      </c>
      <c r="J78" s="5">
        <f>_xlfn.XLOOKUP(Sales!$D78,Products!$A$2:$A$16,Products!$E$2:$E$16)</f>
        <v>62</v>
      </c>
      <c r="K78" s="8" cm="1">
        <f t="array" ref="K78">_xlfn.IFS(H78&lt;=5,0%,H78&lt;=10,5%,H78&lt;=15,10%,H78&lt;=20,15%,H78&gt;20,20%)</f>
        <v>0.2</v>
      </c>
      <c r="L78" s="5">
        <f t="shared" si="3"/>
        <v>2288</v>
      </c>
      <c r="M78" s="5" cm="1">
        <f t="array" ref="M78">L78*_xlfn.IFS(L78&lt;=5000,0.02,L78&lt;=15000,0.04,L78&gt;15000,0.06)</f>
        <v>45.76</v>
      </c>
      <c r="N78" s="5">
        <f t="shared" si="4"/>
        <v>924</v>
      </c>
      <c r="O78" s="8">
        <f t="shared" si="5"/>
        <v>0.40384615384615385</v>
      </c>
    </row>
    <row r="79" spans="1:15" x14ac:dyDescent="0.45">
      <c r="A79" t="s">
        <v>161</v>
      </c>
      <c r="B79" s="4">
        <v>45428</v>
      </c>
      <c r="C79" t="s">
        <v>26</v>
      </c>
      <c r="D79" t="s">
        <v>53</v>
      </c>
      <c r="E79" t="s">
        <v>14</v>
      </c>
      <c r="F79" t="str">
        <f>_xlfn.XLOOKUP(C79,Salespeople!$A$2:$A$11,Salespeople!$C$2:$C$11)</f>
        <v>APAC</v>
      </c>
      <c r="G79" t="str">
        <f>_xlfn.XLOOKUP(C79,Salespeople!$A$2:$A$11,Salespeople!$D$2:$D$11)</f>
        <v>Singapore</v>
      </c>
      <c r="H79">
        <v>4</v>
      </c>
      <c r="I79" s="5">
        <f>_xlfn.XLOOKUP($D79,Products!$A$2:$A$16,Products!$D$2:$D$16)</f>
        <v>130</v>
      </c>
      <c r="J79" s="5">
        <f>_xlfn.XLOOKUP(Sales!$D79,Products!$A$2:$A$16,Products!$E$2:$E$16)</f>
        <v>62</v>
      </c>
      <c r="K79" s="8" cm="1">
        <f t="array" ref="K79">_xlfn.IFS(H79&lt;=5,0%,H79&lt;=10,5%,H79&lt;=15,10%,H79&lt;=20,15%,H79&gt;20,20%)</f>
        <v>0</v>
      </c>
      <c r="L79" s="5">
        <f t="shared" si="3"/>
        <v>520</v>
      </c>
      <c r="M79" s="5" cm="1">
        <f t="array" ref="M79">L79*_xlfn.IFS(L79&lt;=5000,0.02,L79&lt;=15000,0.04,L79&gt;15000,0.06)</f>
        <v>10.4</v>
      </c>
      <c r="N79" s="5">
        <f t="shared" si="4"/>
        <v>272</v>
      </c>
      <c r="O79" s="8">
        <f t="shared" si="5"/>
        <v>0.52307692307692311</v>
      </c>
    </row>
    <row r="80" spans="1:15" x14ac:dyDescent="0.45">
      <c r="A80" t="s">
        <v>162</v>
      </c>
      <c r="B80" s="4">
        <v>45311</v>
      </c>
      <c r="C80" t="s">
        <v>60</v>
      </c>
      <c r="D80" t="s">
        <v>88</v>
      </c>
      <c r="E80" t="s">
        <v>23</v>
      </c>
      <c r="F80" t="str">
        <f>_xlfn.XLOOKUP(C80,Salespeople!$A$2:$A$11,Salespeople!$C$2:$C$11)</f>
        <v>APAC</v>
      </c>
      <c r="G80" t="str">
        <f>_xlfn.XLOOKUP(C80,Salespeople!$A$2:$A$11,Salespeople!$D$2:$D$11)</f>
        <v>Japan</v>
      </c>
      <c r="H80">
        <v>15</v>
      </c>
      <c r="I80" s="5">
        <f>_xlfn.XLOOKUP($D80,Products!$A$2:$A$16,Products!$D$2:$D$16)</f>
        <v>35</v>
      </c>
      <c r="J80" s="5">
        <f>_xlfn.XLOOKUP(Sales!$D80,Products!$A$2:$A$16,Products!$E$2:$E$16)</f>
        <v>14</v>
      </c>
      <c r="K80" s="8" cm="1">
        <f t="array" ref="K80">_xlfn.IFS(H80&lt;=5,0%,H80&lt;=10,5%,H80&lt;=15,10%,H80&lt;=20,15%,H80&gt;20,20%)</f>
        <v>0.1</v>
      </c>
      <c r="L80" s="5">
        <f t="shared" si="3"/>
        <v>472.5</v>
      </c>
      <c r="M80" s="5" cm="1">
        <f t="array" ref="M80">L80*_xlfn.IFS(L80&lt;=5000,0.02,L80&lt;=15000,0.04,L80&gt;15000,0.06)</f>
        <v>9.4500000000000011</v>
      </c>
      <c r="N80" s="5">
        <f t="shared" si="4"/>
        <v>262.5</v>
      </c>
      <c r="O80" s="8">
        <f t="shared" si="5"/>
        <v>0.55555555555555558</v>
      </c>
    </row>
    <row r="81" spans="1:15" x14ac:dyDescent="0.45">
      <c r="A81" t="s">
        <v>163</v>
      </c>
      <c r="B81" s="4">
        <v>45448</v>
      </c>
      <c r="C81" t="s">
        <v>51</v>
      </c>
      <c r="D81" t="s">
        <v>88</v>
      </c>
      <c r="E81" t="s">
        <v>23</v>
      </c>
      <c r="F81" t="str">
        <f>_xlfn.XLOOKUP(C81,Salespeople!$A$2:$A$11,Salespeople!$C$2:$C$11)</f>
        <v>Americas</v>
      </c>
      <c r="G81" t="str">
        <f>_xlfn.XLOOKUP(C81,Salespeople!$A$2:$A$11,Salespeople!$D$2:$D$11)</f>
        <v>Mexico</v>
      </c>
      <c r="H81">
        <v>22</v>
      </c>
      <c r="I81" s="5">
        <f>_xlfn.XLOOKUP($D81,Products!$A$2:$A$16,Products!$D$2:$D$16)</f>
        <v>35</v>
      </c>
      <c r="J81" s="5">
        <f>_xlfn.XLOOKUP(Sales!$D81,Products!$A$2:$A$16,Products!$E$2:$E$16)</f>
        <v>14</v>
      </c>
      <c r="K81" s="8" cm="1">
        <f t="array" ref="K81">_xlfn.IFS(H81&lt;=5,0%,H81&lt;=10,5%,H81&lt;=15,10%,H81&lt;=20,15%,H81&gt;20,20%)</f>
        <v>0.2</v>
      </c>
      <c r="L81" s="5">
        <f t="shared" si="3"/>
        <v>616</v>
      </c>
      <c r="M81" s="5" cm="1">
        <f t="array" ref="M81">L81*_xlfn.IFS(L81&lt;=5000,0.02,L81&lt;=15000,0.04,L81&gt;15000,0.06)</f>
        <v>12.32</v>
      </c>
      <c r="N81" s="5">
        <f t="shared" si="4"/>
        <v>308</v>
      </c>
      <c r="O81" s="8">
        <f t="shared" si="5"/>
        <v>0.5</v>
      </c>
    </row>
    <row r="82" spans="1:15" x14ac:dyDescent="0.45">
      <c r="A82" t="s">
        <v>164</v>
      </c>
      <c r="B82" s="4">
        <v>45496</v>
      </c>
      <c r="C82" t="s">
        <v>83</v>
      </c>
      <c r="D82" t="s">
        <v>79</v>
      </c>
      <c r="E82" t="s">
        <v>23</v>
      </c>
      <c r="F82" t="str">
        <f>_xlfn.XLOOKUP(C82,Salespeople!$A$2:$A$11,Salespeople!$C$2:$C$11)</f>
        <v>EMEA</v>
      </c>
      <c r="G82" t="str">
        <f>_xlfn.XLOOKUP(C82,Salespeople!$A$2:$A$11,Salespeople!$D$2:$D$11)</f>
        <v>United Arab Emirates</v>
      </c>
      <c r="H82">
        <v>25</v>
      </c>
      <c r="I82" s="5">
        <f>_xlfn.XLOOKUP($D82,Products!$A$2:$A$16,Products!$D$2:$D$16)</f>
        <v>240</v>
      </c>
      <c r="J82" s="5">
        <f>_xlfn.XLOOKUP(Sales!$D82,Products!$A$2:$A$16,Products!$E$2:$E$16)</f>
        <v>150</v>
      </c>
      <c r="K82" s="8" cm="1">
        <f t="array" ref="K82">_xlfn.IFS(H82&lt;=5,0%,H82&lt;=10,5%,H82&lt;=15,10%,H82&lt;=20,15%,H82&gt;20,20%)</f>
        <v>0.2</v>
      </c>
      <c r="L82" s="5">
        <f t="shared" si="3"/>
        <v>4800</v>
      </c>
      <c r="M82" s="5" cm="1">
        <f t="array" ref="M82">L82*_xlfn.IFS(L82&lt;=5000,0.02,L82&lt;=15000,0.04,L82&gt;15000,0.06)</f>
        <v>96</v>
      </c>
      <c r="N82" s="5">
        <f t="shared" si="4"/>
        <v>1050</v>
      </c>
      <c r="O82" s="8">
        <f t="shared" si="5"/>
        <v>0.21875</v>
      </c>
    </row>
    <row r="83" spans="1:15" x14ac:dyDescent="0.45">
      <c r="A83" t="s">
        <v>165</v>
      </c>
      <c r="B83" s="4">
        <v>45471</v>
      </c>
      <c r="C83" t="s">
        <v>38</v>
      </c>
      <c r="D83" t="s">
        <v>44</v>
      </c>
      <c r="E83" t="s">
        <v>14</v>
      </c>
      <c r="F83" t="str">
        <f>_xlfn.XLOOKUP(C83,Salespeople!$A$2:$A$11,Salespeople!$C$2:$C$11)</f>
        <v>Americas</v>
      </c>
      <c r="G83" t="str">
        <f>_xlfn.XLOOKUP(C83,Salespeople!$A$2:$A$11,Salespeople!$D$2:$D$11)</f>
        <v>Brazil</v>
      </c>
      <c r="H83">
        <v>18</v>
      </c>
      <c r="I83" s="5">
        <f>_xlfn.XLOOKUP($D83,Products!$A$2:$A$16,Products!$D$2:$D$16)</f>
        <v>180</v>
      </c>
      <c r="J83" s="5">
        <f>_xlfn.XLOOKUP(Sales!$D83,Products!$A$2:$A$16,Products!$E$2:$E$16)</f>
        <v>105</v>
      </c>
      <c r="K83" s="8" cm="1">
        <f t="array" ref="K83">_xlfn.IFS(H83&lt;=5,0%,H83&lt;=10,5%,H83&lt;=15,10%,H83&lt;=20,15%,H83&gt;20,20%)</f>
        <v>0.15</v>
      </c>
      <c r="L83" s="5">
        <f t="shared" si="3"/>
        <v>2754</v>
      </c>
      <c r="M83" s="5" cm="1">
        <f t="array" ref="M83">L83*_xlfn.IFS(L83&lt;=5000,0.02,L83&lt;=15000,0.04,L83&gt;15000,0.06)</f>
        <v>55.08</v>
      </c>
      <c r="N83" s="5">
        <f t="shared" si="4"/>
        <v>864</v>
      </c>
      <c r="O83" s="8">
        <f t="shared" si="5"/>
        <v>0.31372549019607843</v>
      </c>
    </row>
    <row r="84" spans="1:15" x14ac:dyDescent="0.45">
      <c r="A84" t="s">
        <v>166</v>
      </c>
      <c r="B84" s="4">
        <v>45306</v>
      </c>
      <c r="C84" t="s">
        <v>17</v>
      </c>
      <c r="D84" t="s">
        <v>91</v>
      </c>
      <c r="E84" t="s">
        <v>48</v>
      </c>
      <c r="F84" t="str">
        <f>_xlfn.XLOOKUP(C84,Salespeople!$A$2:$A$11,Salespeople!$C$2:$C$11)</f>
        <v>EMEA</v>
      </c>
      <c r="G84" t="str">
        <f>_xlfn.XLOOKUP(C84,Salespeople!$A$2:$A$11,Salespeople!$D$2:$D$11)</f>
        <v>Portugal</v>
      </c>
      <c r="H84">
        <v>6</v>
      </c>
      <c r="I84" s="5">
        <f>_xlfn.XLOOKUP($D84,Products!$A$2:$A$16,Products!$D$2:$D$16)</f>
        <v>160</v>
      </c>
      <c r="J84" s="5">
        <f>_xlfn.XLOOKUP(Sales!$D84,Products!$A$2:$A$16,Products!$E$2:$E$16)</f>
        <v>88</v>
      </c>
      <c r="K84" s="8" cm="1">
        <f t="array" ref="K84">_xlfn.IFS(H84&lt;=5,0%,H84&lt;=10,5%,H84&lt;=15,10%,H84&lt;=20,15%,H84&gt;20,20%)</f>
        <v>0.05</v>
      </c>
      <c r="L84" s="5">
        <f t="shared" si="3"/>
        <v>912</v>
      </c>
      <c r="M84" s="5" cm="1">
        <f t="array" ref="M84">L84*_xlfn.IFS(L84&lt;=5000,0.02,L84&lt;=15000,0.04,L84&gt;15000,0.06)</f>
        <v>18.240000000000002</v>
      </c>
      <c r="N84" s="5">
        <f t="shared" si="4"/>
        <v>384</v>
      </c>
      <c r="O84" s="8">
        <f t="shared" si="5"/>
        <v>0.42105263157894735</v>
      </c>
    </row>
    <row r="85" spans="1:15" x14ac:dyDescent="0.45">
      <c r="A85" t="s">
        <v>167</v>
      </c>
      <c r="B85" s="4">
        <v>45311</v>
      </c>
      <c r="C85" t="s">
        <v>17</v>
      </c>
      <c r="D85" t="s">
        <v>40</v>
      </c>
      <c r="E85" t="s">
        <v>48</v>
      </c>
      <c r="F85" t="str">
        <f>_xlfn.XLOOKUP(C85,Salespeople!$A$2:$A$11,Salespeople!$C$2:$C$11)</f>
        <v>EMEA</v>
      </c>
      <c r="G85" t="str">
        <f>_xlfn.XLOOKUP(C85,Salespeople!$A$2:$A$11,Salespeople!$D$2:$D$11)</f>
        <v>Portugal</v>
      </c>
      <c r="H85">
        <v>12</v>
      </c>
      <c r="I85" s="5">
        <f>_xlfn.XLOOKUP($D85,Products!$A$2:$A$16,Products!$D$2:$D$16)</f>
        <v>1050</v>
      </c>
      <c r="J85" s="5">
        <f>_xlfn.XLOOKUP(Sales!$D85,Products!$A$2:$A$16,Products!$E$2:$E$16)</f>
        <v>760</v>
      </c>
      <c r="K85" s="8" cm="1">
        <f t="array" ref="K85">_xlfn.IFS(H85&lt;=5,0%,H85&lt;=10,5%,H85&lt;=15,10%,H85&lt;=20,15%,H85&gt;20,20%)</f>
        <v>0.1</v>
      </c>
      <c r="L85" s="5">
        <f t="shared" si="3"/>
        <v>11340</v>
      </c>
      <c r="M85" s="5" cm="1">
        <f t="array" ref="M85">L85*_xlfn.IFS(L85&lt;=5000,0.02,L85&lt;=15000,0.04,L85&gt;15000,0.06)</f>
        <v>453.6</v>
      </c>
      <c r="N85" s="5">
        <f t="shared" si="4"/>
        <v>2220</v>
      </c>
      <c r="O85" s="8">
        <f t="shared" si="5"/>
        <v>0.19576719576719576</v>
      </c>
    </row>
    <row r="86" spans="1:15" x14ac:dyDescent="0.45">
      <c r="A86" t="s">
        <v>168</v>
      </c>
      <c r="B86" s="4">
        <v>45515</v>
      </c>
      <c r="C86" t="s">
        <v>139</v>
      </c>
      <c r="D86" t="s">
        <v>62</v>
      </c>
      <c r="E86" t="s">
        <v>23</v>
      </c>
      <c r="F86" t="str">
        <f>_xlfn.XLOOKUP(C86,Salespeople!$A$2:$A$11,Salespeople!$C$2:$C$11)</f>
        <v>Americas</v>
      </c>
      <c r="G86" t="str">
        <f>_xlfn.XLOOKUP(C86,Salespeople!$A$2:$A$11,Salespeople!$D$2:$D$11)</f>
        <v>Canada</v>
      </c>
      <c r="H86">
        <v>13</v>
      </c>
      <c r="I86" s="5">
        <f>_xlfn.XLOOKUP($D86,Products!$A$2:$A$16,Products!$D$2:$D$16)</f>
        <v>1750</v>
      </c>
      <c r="J86" s="5">
        <f>_xlfn.XLOOKUP(Sales!$D86,Products!$A$2:$A$16,Products!$E$2:$E$16)</f>
        <v>1300</v>
      </c>
      <c r="K86" s="8" cm="1">
        <f t="array" ref="K86">_xlfn.IFS(H86&lt;=5,0%,H86&lt;=10,5%,H86&lt;=15,10%,H86&lt;=20,15%,H86&gt;20,20%)</f>
        <v>0.1</v>
      </c>
      <c r="L86" s="5">
        <f t="shared" si="3"/>
        <v>20475</v>
      </c>
      <c r="M86" s="5" cm="1">
        <f t="array" ref="M86">L86*_xlfn.IFS(L86&lt;=5000,0.02,L86&lt;=15000,0.04,L86&gt;15000,0.06)</f>
        <v>1228.5</v>
      </c>
      <c r="N86" s="5">
        <f t="shared" si="4"/>
        <v>3575</v>
      </c>
      <c r="O86" s="8">
        <f t="shared" si="5"/>
        <v>0.17460317460317459</v>
      </c>
    </row>
    <row r="87" spans="1:15" x14ac:dyDescent="0.45">
      <c r="A87" t="s">
        <v>169</v>
      </c>
      <c r="B87" s="4">
        <v>45422</v>
      </c>
      <c r="C87" t="s">
        <v>131</v>
      </c>
      <c r="D87" t="s">
        <v>28</v>
      </c>
      <c r="E87" t="s">
        <v>48</v>
      </c>
      <c r="F87" t="str">
        <f>_xlfn.XLOOKUP(C87,Salespeople!$A$2:$A$11,Salespeople!$C$2:$C$11)</f>
        <v>EMEA</v>
      </c>
      <c r="G87" t="str">
        <f>_xlfn.XLOOKUP(C87,Salespeople!$A$2:$A$11,Salespeople!$D$2:$D$11)</f>
        <v>United Kingdom</v>
      </c>
      <c r="H87">
        <v>1</v>
      </c>
      <c r="I87" s="5">
        <f>_xlfn.XLOOKUP($D87,Products!$A$2:$A$16,Products!$D$2:$D$16)</f>
        <v>95</v>
      </c>
      <c r="J87" s="5">
        <f>_xlfn.XLOOKUP(Sales!$D87,Products!$A$2:$A$16,Products!$E$2:$E$16)</f>
        <v>44</v>
      </c>
      <c r="K87" s="8" cm="1">
        <f t="array" ref="K87">_xlfn.IFS(H87&lt;=5,0%,H87&lt;=10,5%,H87&lt;=15,10%,H87&lt;=20,15%,H87&gt;20,20%)</f>
        <v>0</v>
      </c>
      <c r="L87" s="5">
        <f t="shared" si="3"/>
        <v>95</v>
      </c>
      <c r="M87" s="5" cm="1">
        <f t="array" ref="M87">L87*_xlfn.IFS(L87&lt;=5000,0.02,L87&lt;=15000,0.04,L87&gt;15000,0.06)</f>
        <v>1.9000000000000001</v>
      </c>
      <c r="N87" s="5">
        <f t="shared" si="4"/>
        <v>51</v>
      </c>
      <c r="O87" s="8">
        <f t="shared" si="5"/>
        <v>0.5368421052631579</v>
      </c>
    </row>
    <row r="88" spans="1:15" x14ac:dyDescent="0.45">
      <c r="A88" t="s">
        <v>170</v>
      </c>
      <c r="B88" s="4">
        <v>45478</v>
      </c>
      <c r="C88" t="s">
        <v>33</v>
      </c>
      <c r="D88" t="s">
        <v>134</v>
      </c>
      <c r="E88" t="s">
        <v>14</v>
      </c>
      <c r="F88" t="str">
        <f>_xlfn.XLOOKUP(C88,Salespeople!$A$2:$A$11,Salespeople!$C$2:$C$11)</f>
        <v>EMEA</v>
      </c>
      <c r="G88" t="str">
        <f>_xlfn.XLOOKUP(C88,Salespeople!$A$2:$A$11,Salespeople!$D$2:$D$11)</f>
        <v>Kenya</v>
      </c>
      <c r="H88">
        <v>11</v>
      </c>
      <c r="I88" s="5">
        <f>_xlfn.XLOOKUP($D88,Products!$A$2:$A$16,Products!$D$2:$D$16)</f>
        <v>79</v>
      </c>
      <c r="J88" s="5">
        <f>_xlfn.XLOOKUP(Sales!$D88,Products!$A$2:$A$16,Products!$E$2:$E$16)</f>
        <v>38</v>
      </c>
      <c r="K88" s="8" cm="1">
        <f t="array" ref="K88">_xlfn.IFS(H88&lt;=5,0%,H88&lt;=10,5%,H88&lt;=15,10%,H88&lt;=20,15%,H88&gt;20,20%)</f>
        <v>0.1</v>
      </c>
      <c r="L88" s="5">
        <f t="shared" si="3"/>
        <v>782.1</v>
      </c>
      <c r="M88" s="5" cm="1">
        <f t="array" ref="M88">L88*_xlfn.IFS(L88&lt;=5000,0.02,L88&lt;=15000,0.04,L88&gt;15000,0.06)</f>
        <v>15.642000000000001</v>
      </c>
      <c r="N88" s="5">
        <f t="shared" si="4"/>
        <v>364.1</v>
      </c>
      <c r="O88" s="8">
        <f t="shared" si="5"/>
        <v>0.46554149085794655</v>
      </c>
    </row>
    <row r="89" spans="1:15" x14ac:dyDescent="0.45">
      <c r="A89" t="s">
        <v>171</v>
      </c>
      <c r="B89" s="4">
        <v>45631</v>
      </c>
      <c r="C89" t="s">
        <v>17</v>
      </c>
      <c r="D89" t="s">
        <v>28</v>
      </c>
      <c r="E89" t="s">
        <v>48</v>
      </c>
      <c r="F89" t="str">
        <f>_xlfn.XLOOKUP(C89,Salespeople!$A$2:$A$11,Salespeople!$C$2:$C$11)</f>
        <v>EMEA</v>
      </c>
      <c r="G89" t="str">
        <f>_xlfn.XLOOKUP(C89,Salespeople!$A$2:$A$11,Salespeople!$D$2:$D$11)</f>
        <v>Portugal</v>
      </c>
      <c r="H89">
        <v>17</v>
      </c>
      <c r="I89" s="5">
        <f>_xlfn.XLOOKUP($D89,Products!$A$2:$A$16,Products!$D$2:$D$16)</f>
        <v>95</v>
      </c>
      <c r="J89" s="5">
        <f>_xlfn.XLOOKUP(Sales!$D89,Products!$A$2:$A$16,Products!$E$2:$E$16)</f>
        <v>44</v>
      </c>
      <c r="K89" s="8" cm="1">
        <f t="array" ref="K89">_xlfn.IFS(H89&lt;=5,0%,H89&lt;=10,5%,H89&lt;=15,10%,H89&lt;=20,15%,H89&gt;20,20%)</f>
        <v>0.15</v>
      </c>
      <c r="L89" s="5">
        <f t="shared" si="3"/>
        <v>1372.75</v>
      </c>
      <c r="M89" s="5" cm="1">
        <f t="array" ref="M89">L89*_xlfn.IFS(L89&lt;=5000,0.02,L89&lt;=15000,0.04,L89&gt;15000,0.06)</f>
        <v>27.455000000000002</v>
      </c>
      <c r="N89" s="5">
        <f t="shared" si="4"/>
        <v>624.75</v>
      </c>
      <c r="O89" s="8">
        <f t="shared" si="5"/>
        <v>0.45510835913312692</v>
      </c>
    </row>
    <row r="90" spans="1:15" x14ac:dyDescent="0.45">
      <c r="A90" t="s">
        <v>172</v>
      </c>
      <c r="B90" s="4">
        <v>45633</v>
      </c>
      <c r="C90" t="s">
        <v>33</v>
      </c>
      <c r="D90" t="s">
        <v>56</v>
      </c>
      <c r="E90" t="s">
        <v>48</v>
      </c>
      <c r="F90" t="str">
        <f>_xlfn.XLOOKUP(C90,Salespeople!$A$2:$A$11,Salespeople!$C$2:$C$11)</f>
        <v>EMEA</v>
      </c>
      <c r="G90" t="str">
        <f>_xlfn.XLOOKUP(C90,Salespeople!$A$2:$A$11,Salespeople!$D$2:$D$11)</f>
        <v>Kenya</v>
      </c>
      <c r="H90">
        <v>23</v>
      </c>
      <c r="I90" s="5">
        <f>_xlfn.XLOOKUP($D90,Products!$A$2:$A$16,Products!$D$2:$D$16)</f>
        <v>520</v>
      </c>
      <c r="J90" s="5">
        <f>_xlfn.XLOOKUP(Sales!$D90,Products!$A$2:$A$16,Products!$E$2:$E$16)</f>
        <v>360</v>
      </c>
      <c r="K90" s="8" cm="1">
        <f t="array" ref="K90">_xlfn.IFS(H90&lt;=5,0%,H90&lt;=10,5%,H90&lt;=15,10%,H90&lt;=20,15%,H90&gt;20,20%)</f>
        <v>0.2</v>
      </c>
      <c r="L90" s="5">
        <f t="shared" si="3"/>
        <v>9568</v>
      </c>
      <c r="M90" s="5" cm="1">
        <f t="array" ref="M90">L90*_xlfn.IFS(L90&lt;=5000,0.02,L90&lt;=15000,0.04,L90&gt;15000,0.06)</f>
        <v>382.72</v>
      </c>
      <c r="N90" s="5">
        <f t="shared" si="4"/>
        <v>1288</v>
      </c>
      <c r="O90" s="8">
        <f t="shared" si="5"/>
        <v>0.13461538461538461</v>
      </c>
    </row>
    <row r="91" spans="1:15" x14ac:dyDescent="0.45">
      <c r="A91" t="s">
        <v>173</v>
      </c>
      <c r="B91" s="4">
        <v>45575</v>
      </c>
      <c r="C91" t="s">
        <v>26</v>
      </c>
      <c r="D91" t="s">
        <v>88</v>
      </c>
      <c r="E91" t="s">
        <v>48</v>
      </c>
      <c r="F91" t="str">
        <f>_xlfn.XLOOKUP(C91,Salespeople!$A$2:$A$11,Salespeople!$C$2:$C$11)</f>
        <v>APAC</v>
      </c>
      <c r="G91" t="str">
        <f>_xlfn.XLOOKUP(C91,Salespeople!$A$2:$A$11,Salespeople!$D$2:$D$11)</f>
        <v>Singapore</v>
      </c>
      <c r="H91">
        <v>22</v>
      </c>
      <c r="I91" s="5">
        <f>_xlfn.XLOOKUP($D91,Products!$A$2:$A$16,Products!$D$2:$D$16)</f>
        <v>35</v>
      </c>
      <c r="J91" s="5">
        <f>_xlfn.XLOOKUP(Sales!$D91,Products!$A$2:$A$16,Products!$E$2:$E$16)</f>
        <v>14</v>
      </c>
      <c r="K91" s="8" cm="1">
        <f t="array" ref="K91">_xlfn.IFS(H91&lt;=5,0%,H91&lt;=10,5%,H91&lt;=15,10%,H91&lt;=20,15%,H91&gt;20,20%)</f>
        <v>0.2</v>
      </c>
      <c r="L91" s="5">
        <f t="shared" si="3"/>
        <v>616</v>
      </c>
      <c r="M91" s="5" cm="1">
        <f t="array" ref="M91">L91*_xlfn.IFS(L91&lt;=5000,0.02,L91&lt;=15000,0.04,L91&gt;15000,0.06)</f>
        <v>12.32</v>
      </c>
      <c r="N91" s="5">
        <f t="shared" si="4"/>
        <v>308</v>
      </c>
      <c r="O91" s="8">
        <f t="shared" si="5"/>
        <v>0.5</v>
      </c>
    </row>
    <row r="92" spans="1:15" x14ac:dyDescent="0.45">
      <c r="A92" t="s">
        <v>174</v>
      </c>
      <c r="B92" s="4">
        <v>45638</v>
      </c>
      <c r="C92" t="s">
        <v>26</v>
      </c>
      <c r="D92" t="s">
        <v>40</v>
      </c>
      <c r="E92" t="s">
        <v>14</v>
      </c>
      <c r="F92" t="str">
        <f>_xlfn.XLOOKUP(C92,Salespeople!$A$2:$A$11,Salespeople!$C$2:$C$11)</f>
        <v>APAC</v>
      </c>
      <c r="G92" t="str">
        <f>_xlfn.XLOOKUP(C92,Salespeople!$A$2:$A$11,Salespeople!$D$2:$D$11)</f>
        <v>Singapore</v>
      </c>
      <c r="H92">
        <v>10</v>
      </c>
      <c r="I92" s="5">
        <f>_xlfn.XLOOKUP($D92,Products!$A$2:$A$16,Products!$D$2:$D$16)</f>
        <v>1050</v>
      </c>
      <c r="J92" s="5">
        <f>_xlfn.XLOOKUP(Sales!$D92,Products!$A$2:$A$16,Products!$E$2:$E$16)</f>
        <v>760</v>
      </c>
      <c r="K92" s="8" cm="1">
        <f t="array" ref="K92">_xlfn.IFS(H92&lt;=5,0%,H92&lt;=10,5%,H92&lt;=15,10%,H92&lt;=20,15%,H92&gt;20,20%)</f>
        <v>0.05</v>
      </c>
      <c r="L92" s="5">
        <f t="shared" si="3"/>
        <v>9975</v>
      </c>
      <c r="M92" s="5" cm="1">
        <f t="array" ref="M92">L92*_xlfn.IFS(L92&lt;=5000,0.02,L92&lt;=15000,0.04,L92&gt;15000,0.06)</f>
        <v>399</v>
      </c>
      <c r="N92" s="5">
        <f t="shared" si="4"/>
        <v>2375</v>
      </c>
      <c r="O92" s="8">
        <f t="shared" si="5"/>
        <v>0.23809523809523808</v>
      </c>
    </row>
    <row r="93" spans="1:15" x14ac:dyDescent="0.45">
      <c r="A93" t="s">
        <v>175</v>
      </c>
      <c r="B93" s="4">
        <v>45572</v>
      </c>
      <c r="C93" t="s">
        <v>131</v>
      </c>
      <c r="D93" t="s">
        <v>79</v>
      </c>
      <c r="E93" t="s">
        <v>48</v>
      </c>
      <c r="F93" t="str">
        <f>_xlfn.XLOOKUP(C93,Salespeople!$A$2:$A$11,Salespeople!$C$2:$C$11)</f>
        <v>EMEA</v>
      </c>
      <c r="G93" t="str">
        <f>_xlfn.XLOOKUP(C93,Salespeople!$A$2:$A$11,Salespeople!$D$2:$D$11)</f>
        <v>United Kingdom</v>
      </c>
      <c r="H93">
        <v>7</v>
      </c>
      <c r="I93" s="5">
        <f>_xlfn.XLOOKUP($D93,Products!$A$2:$A$16,Products!$D$2:$D$16)</f>
        <v>240</v>
      </c>
      <c r="J93" s="5">
        <f>_xlfn.XLOOKUP(Sales!$D93,Products!$A$2:$A$16,Products!$E$2:$E$16)</f>
        <v>150</v>
      </c>
      <c r="K93" s="8" cm="1">
        <f t="array" ref="K93">_xlfn.IFS(H93&lt;=5,0%,H93&lt;=10,5%,H93&lt;=15,10%,H93&lt;=20,15%,H93&gt;20,20%)</f>
        <v>0.05</v>
      </c>
      <c r="L93" s="5">
        <f t="shared" si="3"/>
        <v>1596</v>
      </c>
      <c r="M93" s="5" cm="1">
        <f t="array" ref="M93">L93*_xlfn.IFS(L93&lt;=5000,0.02,L93&lt;=15000,0.04,L93&gt;15000,0.06)</f>
        <v>31.92</v>
      </c>
      <c r="N93" s="5">
        <f t="shared" si="4"/>
        <v>546</v>
      </c>
      <c r="O93" s="8">
        <f t="shared" si="5"/>
        <v>0.34210526315789475</v>
      </c>
    </row>
    <row r="94" spans="1:15" x14ac:dyDescent="0.45">
      <c r="A94" t="s">
        <v>176</v>
      </c>
      <c r="B94" s="4">
        <v>45588</v>
      </c>
      <c r="C94" t="s">
        <v>139</v>
      </c>
      <c r="D94" t="s">
        <v>74</v>
      </c>
      <c r="E94" t="s">
        <v>48</v>
      </c>
      <c r="F94" t="str">
        <f>_xlfn.XLOOKUP(C94,Salespeople!$A$2:$A$11,Salespeople!$C$2:$C$11)</f>
        <v>Americas</v>
      </c>
      <c r="G94" t="str">
        <f>_xlfn.XLOOKUP(C94,Salespeople!$A$2:$A$11,Salespeople!$D$2:$D$11)</f>
        <v>Canada</v>
      </c>
      <c r="H94">
        <v>15</v>
      </c>
      <c r="I94" s="5">
        <f>_xlfn.XLOOKUP($D94,Products!$A$2:$A$16,Products!$D$2:$D$16)</f>
        <v>210</v>
      </c>
      <c r="J94" s="5">
        <f>_xlfn.XLOOKUP(Sales!$D94,Products!$A$2:$A$16,Products!$E$2:$E$16)</f>
        <v>120</v>
      </c>
      <c r="K94" s="8" cm="1">
        <f t="array" ref="K94">_xlfn.IFS(H94&lt;=5,0%,H94&lt;=10,5%,H94&lt;=15,10%,H94&lt;=20,15%,H94&gt;20,20%)</f>
        <v>0.1</v>
      </c>
      <c r="L94" s="5">
        <f t="shared" si="3"/>
        <v>2835</v>
      </c>
      <c r="M94" s="5" cm="1">
        <f t="array" ref="M94">L94*_xlfn.IFS(L94&lt;=5000,0.02,L94&lt;=15000,0.04,L94&gt;15000,0.06)</f>
        <v>56.7</v>
      </c>
      <c r="N94" s="5">
        <f t="shared" si="4"/>
        <v>1035</v>
      </c>
      <c r="O94" s="8">
        <f t="shared" si="5"/>
        <v>0.36507936507936506</v>
      </c>
    </row>
    <row r="95" spans="1:15" x14ac:dyDescent="0.45">
      <c r="A95" t="s">
        <v>177</v>
      </c>
      <c r="B95" s="4">
        <v>45518</v>
      </c>
      <c r="C95" t="s">
        <v>51</v>
      </c>
      <c r="D95" t="s">
        <v>62</v>
      </c>
      <c r="E95" t="s">
        <v>48</v>
      </c>
      <c r="F95" t="str">
        <f>_xlfn.XLOOKUP(C95,Salespeople!$A$2:$A$11,Salespeople!$C$2:$C$11)</f>
        <v>Americas</v>
      </c>
      <c r="G95" t="str">
        <f>_xlfn.XLOOKUP(C95,Salespeople!$A$2:$A$11,Salespeople!$D$2:$D$11)</f>
        <v>Mexico</v>
      </c>
      <c r="H95">
        <v>24</v>
      </c>
      <c r="I95" s="5">
        <f>_xlfn.XLOOKUP($D95,Products!$A$2:$A$16,Products!$D$2:$D$16)</f>
        <v>1750</v>
      </c>
      <c r="J95" s="5">
        <f>_xlfn.XLOOKUP(Sales!$D95,Products!$A$2:$A$16,Products!$E$2:$E$16)</f>
        <v>1300</v>
      </c>
      <c r="K95" s="8" cm="1">
        <f t="array" ref="K95">_xlfn.IFS(H95&lt;=5,0%,H95&lt;=10,5%,H95&lt;=15,10%,H95&lt;=20,15%,H95&gt;20,20%)</f>
        <v>0.2</v>
      </c>
      <c r="L95" s="5">
        <f t="shared" si="3"/>
        <v>33600</v>
      </c>
      <c r="M95" s="5" cm="1">
        <f t="array" ref="M95">L95*_xlfn.IFS(L95&lt;=5000,0.02,L95&lt;=15000,0.04,L95&gt;15000,0.06)</f>
        <v>2016</v>
      </c>
      <c r="N95" s="5">
        <f t="shared" si="4"/>
        <v>2400</v>
      </c>
      <c r="O95" s="8">
        <f t="shared" si="5"/>
        <v>7.1428571428571425E-2</v>
      </c>
    </row>
    <row r="96" spans="1:15" x14ac:dyDescent="0.45">
      <c r="A96" t="s">
        <v>178</v>
      </c>
      <c r="B96" s="4">
        <v>45629</v>
      </c>
      <c r="C96" t="s">
        <v>17</v>
      </c>
      <c r="D96" t="s">
        <v>79</v>
      </c>
      <c r="E96" t="s">
        <v>14</v>
      </c>
      <c r="F96" t="str">
        <f>_xlfn.XLOOKUP(C96,Salespeople!$A$2:$A$11,Salespeople!$C$2:$C$11)</f>
        <v>EMEA</v>
      </c>
      <c r="G96" t="str">
        <f>_xlfn.XLOOKUP(C96,Salespeople!$A$2:$A$11,Salespeople!$D$2:$D$11)</f>
        <v>Portugal</v>
      </c>
      <c r="H96">
        <v>22</v>
      </c>
      <c r="I96" s="5">
        <f>_xlfn.XLOOKUP($D96,Products!$A$2:$A$16,Products!$D$2:$D$16)</f>
        <v>240</v>
      </c>
      <c r="J96" s="5">
        <f>_xlfn.XLOOKUP(Sales!$D96,Products!$A$2:$A$16,Products!$E$2:$E$16)</f>
        <v>150</v>
      </c>
      <c r="K96" s="8" cm="1">
        <f t="array" ref="K96">_xlfn.IFS(H96&lt;=5,0%,H96&lt;=10,5%,H96&lt;=15,10%,H96&lt;=20,15%,H96&gt;20,20%)</f>
        <v>0.2</v>
      </c>
      <c r="L96" s="5">
        <f t="shared" si="3"/>
        <v>4224</v>
      </c>
      <c r="M96" s="5" cm="1">
        <f t="array" ref="M96">L96*_xlfn.IFS(L96&lt;=5000,0.02,L96&lt;=15000,0.04,L96&gt;15000,0.06)</f>
        <v>84.48</v>
      </c>
      <c r="N96" s="5">
        <f t="shared" si="4"/>
        <v>924</v>
      </c>
      <c r="O96" s="8">
        <f t="shared" si="5"/>
        <v>0.21875</v>
      </c>
    </row>
    <row r="97" spans="1:15" x14ac:dyDescent="0.45">
      <c r="A97" t="s">
        <v>179</v>
      </c>
      <c r="B97" s="4">
        <v>45339</v>
      </c>
      <c r="C97" t="s">
        <v>51</v>
      </c>
      <c r="D97" t="s">
        <v>74</v>
      </c>
      <c r="E97" t="s">
        <v>48</v>
      </c>
      <c r="F97" t="str">
        <f>_xlfn.XLOOKUP(C97,Salespeople!$A$2:$A$11,Salespeople!$C$2:$C$11)</f>
        <v>Americas</v>
      </c>
      <c r="G97" t="str">
        <f>_xlfn.XLOOKUP(C97,Salespeople!$A$2:$A$11,Salespeople!$D$2:$D$11)</f>
        <v>Mexico</v>
      </c>
      <c r="H97">
        <v>8</v>
      </c>
      <c r="I97" s="5">
        <f>_xlfn.XLOOKUP($D97,Products!$A$2:$A$16,Products!$D$2:$D$16)</f>
        <v>210</v>
      </c>
      <c r="J97" s="5">
        <f>_xlfn.XLOOKUP(Sales!$D97,Products!$A$2:$A$16,Products!$E$2:$E$16)</f>
        <v>120</v>
      </c>
      <c r="K97" s="8" cm="1">
        <f t="array" ref="K97">_xlfn.IFS(H97&lt;=5,0%,H97&lt;=10,5%,H97&lt;=15,10%,H97&lt;=20,15%,H97&gt;20,20%)</f>
        <v>0.05</v>
      </c>
      <c r="L97" s="5">
        <f t="shared" si="3"/>
        <v>1596</v>
      </c>
      <c r="M97" s="5" cm="1">
        <f t="array" ref="M97">L97*_xlfn.IFS(L97&lt;=5000,0.02,L97&lt;=15000,0.04,L97&gt;15000,0.06)</f>
        <v>31.92</v>
      </c>
      <c r="N97" s="5">
        <f t="shared" si="4"/>
        <v>636</v>
      </c>
      <c r="O97" s="8">
        <f t="shared" si="5"/>
        <v>0.39849624060150374</v>
      </c>
    </row>
    <row r="98" spans="1:15" x14ac:dyDescent="0.45">
      <c r="A98" t="s">
        <v>180</v>
      </c>
      <c r="B98" s="4">
        <v>45367</v>
      </c>
      <c r="C98" t="s">
        <v>131</v>
      </c>
      <c r="D98" t="s">
        <v>19</v>
      </c>
      <c r="E98" t="s">
        <v>23</v>
      </c>
      <c r="F98" t="str">
        <f>_xlfn.XLOOKUP(C98,Salespeople!$A$2:$A$11,Salespeople!$C$2:$C$11)</f>
        <v>EMEA</v>
      </c>
      <c r="G98" t="str">
        <f>_xlfn.XLOOKUP(C98,Salespeople!$A$2:$A$11,Salespeople!$D$2:$D$11)</f>
        <v>United Kingdom</v>
      </c>
      <c r="H98">
        <v>16</v>
      </c>
      <c r="I98" s="5">
        <f>_xlfn.XLOOKUP($D98,Products!$A$2:$A$16,Products!$D$2:$D$16)</f>
        <v>25</v>
      </c>
      <c r="J98" s="5">
        <f>_xlfn.XLOOKUP(Sales!$D98,Products!$A$2:$A$16,Products!$E$2:$E$16)</f>
        <v>11</v>
      </c>
      <c r="K98" s="8" cm="1">
        <f t="array" ref="K98">_xlfn.IFS(H98&lt;=5,0%,H98&lt;=10,5%,H98&lt;=15,10%,H98&lt;=20,15%,H98&gt;20,20%)</f>
        <v>0.15</v>
      </c>
      <c r="L98" s="5">
        <f t="shared" si="3"/>
        <v>340</v>
      </c>
      <c r="M98" s="5" cm="1">
        <f t="array" ref="M98">L98*_xlfn.IFS(L98&lt;=5000,0.02,L98&lt;=15000,0.04,L98&gt;15000,0.06)</f>
        <v>6.8</v>
      </c>
      <c r="N98" s="5">
        <f t="shared" si="4"/>
        <v>164</v>
      </c>
      <c r="O98" s="8">
        <f t="shared" si="5"/>
        <v>0.4823529411764706</v>
      </c>
    </row>
    <row r="99" spans="1:15" x14ac:dyDescent="0.45">
      <c r="A99" t="s">
        <v>181</v>
      </c>
      <c r="B99" s="4">
        <v>45525</v>
      </c>
      <c r="C99" t="s">
        <v>33</v>
      </c>
      <c r="D99" t="s">
        <v>91</v>
      </c>
      <c r="E99" t="s">
        <v>14</v>
      </c>
      <c r="F99" t="str">
        <f>_xlfn.XLOOKUP(C99,Salespeople!$A$2:$A$11,Salespeople!$C$2:$C$11)</f>
        <v>EMEA</v>
      </c>
      <c r="G99" t="str">
        <f>_xlfn.XLOOKUP(C99,Salespeople!$A$2:$A$11,Salespeople!$D$2:$D$11)</f>
        <v>Kenya</v>
      </c>
      <c r="H99">
        <v>19</v>
      </c>
      <c r="I99" s="5">
        <f>_xlfn.XLOOKUP($D99,Products!$A$2:$A$16,Products!$D$2:$D$16)</f>
        <v>160</v>
      </c>
      <c r="J99" s="5">
        <f>_xlfn.XLOOKUP(Sales!$D99,Products!$A$2:$A$16,Products!$E$2:$E$16)</f>
        <v>88</v>
      </c>
      <c r="K99" s="8" cm="1">
        <f t="array" ref="K99">_xlfn.IFS(H99&lt;=5,0%,H99&lt;=10,5%,H99&lt;=15,10%,H99&lt;=20,15%,H99&gt;20,20%)</f>
        <v>0.15</v>
      </c>
      <c r="L99" s="5">
        <f t="shared" si="3"/>
        <v>2584</v>
      </c>
      <c r="M99" s="5" cm="1">
        <f t="array" ref="M99">L99*_xlfn.IFS(L99&lt;=5000,0.02,L99&lt;=15000,0.04,L99&gt;15000,0.06)</f>
        <v>51.68</v>
      </c>
      <c r="N99" s="5">
        <f t="shared" si="4"/>
        <v>912</v>
      </c>
      <c r="O99" s="8">
        <f t="shared" si="5"/>
        <v>0.35294117647058826</v>
      </c>
    </row>
    <row r="100" spans="1:15" x14ac:dyDescent="0.45">
      <c r="A100" t="s">
        <v>182</v>
      </c>
      <c r="B100" s="4">
        <v>45648</v>
      </c>
      <c r="C100" t="s">
        <v>33</v>
      </c>
      <c r="D100" t="s">
        <v>103</v>
      </c>
      <c r="E100" t="s">
        <v>48</v>
      </c>
      <c r="F100" t="str">
        <f>_xlfn.XLOOKUP(C100,Salespeople!$A$2:$A$11,Salespeople!$C$2:$C$11)</f>
        <v>EMEA</v>
      </c>
      <c r="G100" t="str">
        <f>_xlfn.XLOOKUP(C100,Salespeople!$A$2:$A$11,Salespeople!$D$2:$D$11)</f>
        <v>Kenya</v>
      </c>
      <c r="H100">
        <v>8</v>
      </c>
      <c r="I100" s="5">
        <f>_xlfn.XLOOKUP($D100,Products!$A$2:$A$16,Products!$D$2:$D$16)</f>
        <v>1150</v>
      </c>
      <c r="J100" s="5">
        <f>_xlfn.XLOOKUP(Sales!$D100,Products!$A$2:$A$16,Products!$E$2:$E$16)</f>
        <v>820</v>
      </c>
      <c r="K100" s="8" cm="1">
        <f t="array" ref="K100">_xlfn.IFS(H100&lt;=5,0%,H100&lt;=10,5%,H100&lt;=15,10%,H100&lt;=20,15%,H100&gt;20,20%)</f>
        <v>0.05</v>
      </c>
      <c r="L100" s="5">
        <f t="shared" si="3"/>
        <v>8740</v>
      </c>
      <c r="M100" s="5" cm="1">
        <f t="array" ref="M100">L100*_xlfn.IFS(L100&lt;=5000,0.02,L100&lt;=15000,0.04,L100&gt;15000,0.06)</f>
        <v>349.6</v>
      </c>
      <c r="N100" s="5">
        <f t="shared" si="4"/>
        <v>2180</v>
      </c>
      <c r="O100" s="8">
        <f t="shared" si="5"/>
        <v>0.2494279176201373</v>
      </c>
    </row>
    <row r="101" spans="1:15" x14ac:dyDescent="0.45">
      <c r="A101" t="s">
        <v>183</v>
      </c>
      <c r="B101" s="4">
        <v>45627</v>
      </c>
      <c r="C101" t="s">
        <v>131</v>
      </c>
      <c r="D101" t="s">
        <v>91</v>
      </c>
      <c r="E101" t="s">
        <v>23</v>
      </c>
      <c r="F101" t="str">
        <f>_xlfn.XLOOKUP(C101,Salespeople!$A$2:$A$11,Salespeople!$C$2:$C$11)</f>
        <v>EMEA</v>
      </c>
      <c r="G101" t="str">
        <f>_xlfn.XLOOKUP(C101,Salespeople!$A$2:$A$11,Salespeople!$D$2:$D$11)</f>
        <v>United Kingdom</v>
      </c>
      <c r="H101">
        <v>25</v>
      </c>
      <c r="I101" s="5">
        <f>_xlfn.XLOOKUP($D101,Products!$A$2:$A$16,Products!$D$2:$D$16)</f>
        <v>160</v>
      </c>
      <c r="J101" s="5">
        <f>_xlfn.XLOOKUP(Sales!$D101,Products!$A$2:$A$16,Products!$E$2:$E$16)</f>
        <v>88</v>
      </c>
      <c r="K101" s="8" cm="1">
        <f t="array" ref="K101">_xlfn.IFS(H101&lt;=5,0%,H101&lt;=10,5%,H101&lt;=15,10%,H101&lt;=20,15%,H101&gt;20,20%)</f>
        <v>0.2</v>
      </c>
      <c r="L101" s="5">
        <f t="shared" si="3"/>
        <v>3200</v>
      </c>
      <c r="M101" s="5" cm="1">
        <f t="array" ref="M101">L101*_xlfn.IFS(L101&lt;=5000,0.02,L101&lt;=15000,0.04,L101&gt;15000,0.06)</f>
        <v>64</v>
      </c>
      <c r="N101" s="5">
        <f t="shared" si="4"/>
        <v>1000</v>
      </c>
      <c r="O101" s="8">
        <f t="shared" si="5"/>
        <v>0.3125</v>
      </c>
    </row>
    <row r="102" spans="1:15" x14ac:dyDescent="0.45">
      <c r="A102" t="s">
        <v>184</v>
      </c>
      <c r="B102" s="4">
        <v>45404</v>
      </c>
      <c r="C102" t="s">
        <v>26</v>
      </c>
      <c r="D102" t="s">
        <v>53</v>
      </c>
      <c r="E102" t="s">
        <v>14</v>
      </c>
      <c r="F102" t="str">
        <f>_xlfn.XLOOKUP(C102,Salespeople!$A$2:$A$11,Salespeople!$C$2:$C$11)</f>
        <v>APAC</v>
      </c>
      <c r="G102" t="str">
        <f>_xlfn.XLOOKUP(C102,Salespeople!$A$2:$A$11,Salespeople!$D$2:$D$11)</f>
        <v>Singapore</v>
      </c>
      <c r="H102">
        <v>17</v>
      </c>
      <c r="I102" s="5">
        <f>_xlfn.XLOOKUP($D102,Products!$A$2:$A$16,Products!$D$2:$D$16)</f>
        <v>130</v>
      </c>
      <c r="J102" s="5">
        <f>_xlfn.XLOOKUP(Sales!$D102,Products!$A$2:$A$16,Products!$E$2:$E$16)</f>
        <v>62</v>
      </c>
      <c r="K102" s="8" cm="1">
        <f t="array" ref="K102">_xlfn.IFS(H102&lt;=5,0%,H102&lt;=10,5%,H102&lt;=15,10%,H102&lt;=20,15%,H102&gt;20,20%)</f>
        <v>0.15</v>
      </c>
      <c r="L102" s="5">
        <f t="shared" si="3"/>
        <v>1878.5</v>
      </c>
      <c r="M102" s="5" cm="1">
        <f t="array" ref="M102">L102*_xlfn.IFS(L102&lt;=5000,0.02,L102&lt;=15000,0.04,L102&gt;15000,0.06)</f>
        <v>37.57</v>
      </c>
      <c r="N102" s="5">
        <f t="shared" si="4"/>
        <v>824.5</v>
      </c>
      <c r="O102" s="8">
        <f t="shared" si="5"/>
        <v>0.43891402714932126</v>
      </c>
    </row>
    <row r="103" spans="1:15" x14ac:dyDescent="0.45">
      <c r="A103" t="s">
        <v>185</v>
      </c>
      <c r="B103" s="4">
        <v>45317</v>
      </c>
      <c r="C103" t="s">
        <v>38</v>
      </c>
      <c r="D103" t="s">
        <v>88</v>
      </c>
      <c r="E103" t="s">
        <v>23</v>
      </c>
      <c r="F103" t="str">
        <f>_xlfn.XLOOKUP(C103,Salespeople!$A$2:$A$11,Salespeople!$C$2:$C$11)</f>
        <v>Americas</v>
      </c>
      <c r="G103" t="str">
        <f>_xlfn.XLOOKUP(C103,Salespeople!$A$2:$A$11,Salespeople!$D$2:$D$11)</f>
        <v>Brazil</v>
      </c>
      <c r="H103">
        <v>15</v>
      </c>
      <c r="I103" s="5">
        <f>_xlfn.XLOOKUP($D103,Products!$A$2:$A$16,Products!$D$2:$D$16)</f>
        <v>35</v>
      </c>
      <c r="J103" s="5">
        <f>_xlfn.XLOOKUP(Sales!$D103,Products!$A$2:$A$16,Products!$E$2:$E$16)</f>
        <v>14</v>
      </c>
      <c r="K103" s="8" cm="1">
        <f t="array" ref="K103">_xlfn.IFS(H103&lt;=5,0%,H103&lt;=10,5%,H103&lt;=15,10%,H103&lt;=20,15%,H103&gt;20,20%)</f>
        <v>0.1</v>
      </c>
      <c r="L103" s="5">
        <f t="shared" si="3"/>
        <v>472.5</v>
      </c>
      <c r="M103" s="5" cm="1">
        <f t="array" ref="M103">L103*_xlfn.IFS(L103&lt;=5000,0.02,L103&lt;=15000,0.04,L103&gt;15000,0.06)</f>
        <v>9.4500000000000011</v>
      </c>
      <c r="N103" s="5">
        <f t="shared" si="4"/>
        <v>262.5</v>
      </c>
      <c r="O103" s="8">
        <f t="shared" si="5"/>
        <v>0.55555555555555558</v>
      </c>
    </row>
    <row r="104" spans="1:15" x14ac:dyDescent="0.45">
      <c r="A104" t="s">
        <v>186</v>
      </c>
      <c r="B104" s="4">
        <v>45529</v>
      </c>
      <c r="C104" t="s">
        <v>38</v>
      </c>
      <c r="D104" t="s">
        <v>62</v>
      </c>
      <c r="E104" t="s">
        <v>14</v>
      </c>
      <c r="F104" t="str">
        <f>_xlfn.XLOOKUP(C104,Salespeople!$A$2:$A$11,Salespeople!$C$2:$C$11)</f>
        <v>Americas</v>
      </c>
      <c r="G104" t="str">
        <f>_xlfn.XLOOKUP(C104,Salespeople!$A$2:$A$11,Salespeople!$D$2:$D$11)</f>
        <v>Brazil</v>
      </c>
      <c r="H104">
        <v>11</v>
      </c>
      <c r="I104" s="5">
        <f>_xlfn.XLOOKUP($D104,Products!$A$2:$A$16,Products!$D$2:$D$16)</f>
        <v>1750</v>
      </c>
      <c r="J104" s="5">
        <f>_xlfn.XLOOKUP(Sales!$D104,Products!$A$2:$A$16,Products!$E$2:$E$16)</f>
        <v>1300</v>
      </c>
      <c r="K104" s="8" cm="1">
        <f t="array" ref="K104">_xlfn.IFS(H104&lt;=5,0%,H104&lt;=10,5%,H104&lt;=15,10%,H104&lt;=20,15%,H104&gt;20,20%)</f>
        <v>0.1</v>
      </c>
      <c r="L104" s="5">
        <f t="shared" si="3"/>
        <v>17325</v>
      </c>
      <c r="M104" s="5" cm="1">
        <f t="array" ref="M104">L104*_xlfn.IFS(L104&lt;=5000,0.02,L104&lt;=15000,0.04,L104&gt;15000,0.06)</f>
        <v>1039.5</v>
      </c>
      <c r="N104" s="5">
        <f t="shared" si="4"/>
        <v>3025</v>
      </c>
      <c r="O104" s="8">
        <f t="shared" si="5"/>
        <v>0.17460317460317459</v>
      </c>
    </row>
    <row r="105" spans="1:15" x14ac:dyDescent="0.45">
      <c r="A105" t="s">
        <v>187</v>
      </c>
      <c r="B105" s="4">
        <v>45605</v>
      </c>
      <c r="C105" t="s">
        <v>38</v>
      </c>
      <c r="D105" t="s">
        <v>44</v>
      </c>
      <c r="E105" t="s">
        <v>14</v>
      </c>
      <c r="F105" t="str">
        <f>_xlfn.XLOOKUP(C105,Salespeople!$A$2:$A$11,Salespeople!$C$2:$C$11)</f>
        <v>Americas</v>
      </c>
      <c r="G105" t="str">
        <f>_xlfn.XLOOKUP(C105,Salespeople!$A$2:$A$11,Salespeople!$D$2:$D$11)</f>
        <v>Brazil</v>
      </c>
      <c r="H105">
        <v>15</v>
      </c>
      <c r="I105" s="5">
        <f>_xlfn.XLOOKUP($D105,Products!$A$2:$A$16,Products!$D$2:$D$16)</f>
        <v>180</v>
      </c>
      <c r="J105" s="5">
        <f>_xlfn.XLOOKUP(Sales!$D105,Products!$A$2:$A$16,Products!$E$2:$E$16)</f>
        <v>105</v>
      </c>
      <c r="K105" s="8" cm="1">
        <f t="array" ref="K105">_xlfn.IFS(H105&lt;=5,0%,H105&lt;=10,5%,H105&lt;=15,10%,H105&lt;=20,15%,H105&gt;20,20%)</f>
        <v>0.1</v>
      </c>
      <c r="L105" s="5">
        <f t="shared" si="3"/>
        <v>2430</v>
      </c>
      <c r="M105" s="5" cm="1">
        <f t="array" ref="M105">L105*_xlfn.IFS(L105&lt;=5000,0.02,L105&lt;=15000,0.04,L105&gt;15000,0.06)</f>
        <v>48.6</v>
      </c>
      <c r="N105" s="5">
        <f t="shared" si="4"/>
        <v>855</v>
      </c>
      <c r="O105" s="8">
        <f t="shared" si="5"/>
        <v>0.35185185185185186</v>
      </c>
    </row>
    <row r="106" spans="1:15" x14ac:dyDescent="0.45">
      <c r="A106" t="s">
        <v>188</v>
      </c>
      <c r="B106" s="4">
        <v>45535</v>
      </c>
      <c r="C106" t="s">
        <v>60</v>
      </c>
      <c r="D106" t="s">
        <v>79</v>
      </c>
      <c r="E106" t="s">
        <v>23</v>
      </c>
      <c r="F106" t="str">
        <f>_xlfn.XLOOKUP(C106,Salespeople!$A$2:$A$11,Salespeople!$C$2:$C$11)</f>
        <v>APAC</v>
      </c>
      <c r="G106" t="str">
        <f>_xlfn.XLOOKUP(C106,Salespeople!$A$2:$A$11,Salespeople!$D$2:$D$11)</f>
        <v>Japan</v>
      </c>
      <c r="H106">
        <v>21</v>
      </c>
      <c r="I106" s="5">
        <f>_xlfn.XLOOKUP($D106,Products!$A$2:$A$16,Products!$D$2:$D$16)</f>
        <v>240</v>
      </c>
      <c r="J106" s="5">
        <f>_xlfn.XLOOKUP(Sales!$D106,Products!$A$2:$A$16,Products!$E$2:$E$16)</f>
        <v>150</v>
      </c>
      <c r="K106" s="8" cm="1">
        <f t="array" ref="K106">_xlfn.IFS(H106&lt;=5,0%,H106&lt;=10,5%,H106&lt;=15,10%,H106&lt;=20,15%,H106&gt;20,20%)</f>
        <v>0.2</v>
      </c>
      <c r="L106" s="5">
        <f t="shared" si="3"/>
        <v>4032</v>
      </c>
      <c r="M106" s="5" cm="1">
        <f t="array" ref="M106">L106*_xlfn.IFS(L106&lt;=5000,0.02,L106&lt;=15000,0.04,L106&gt;15000,0.06)</f>
        <v>80.64</v>
      </c>
      <c r="N106" s="5">
        <f t="shared" si="4"/>
        <v>882</v>
      </c>
      <c r="O106" s="8">
        <f t="shared" si="5"/>
        <v>0.21875</v>
      </c>
    </row>
    <row r="107" spans="1:15" x14ac:dyDescent="0.45">
      <c r="A107" t="s">
        <v>189</v>
      </c>
      <c r="B107" s="4">
        <v>45558</v>
      </c>
      <c r="C107" t="s">
        <v>60</v>
      </c>
      <c r="D107" t="s">
        <v>74</v>
      </c>
      <c r="E107" t="s">
        <v>23</v>
      </c>
      <c r="F107" t="str">
        <f>_xlfn.XLOOKUP(C107,Salespeople!$A$2:$A$11,Salespeople!$C$2:$C$11)</f>
        <v>APAC</v>
      </c>
      <c r="G107" t="str">
        <f>_xlfn.XLOOKUP(C107,Salespeople!$A$2:$A$11,Salespeople!$D$2:$D$11)</f>
        <v>Japan</v>
      </c>
      <c r="H107">
        <v>9</v>
      </c>
      <c r="I107" s="5">
        <f>_xlfn.XLOOKUP($D107,Products!$A$2:$A$16,Products!$D$2:$D$16)</f>
        <v>210</v>
      </c>
      <c r="J107" s="5">
        <f>_xlfn.XLOOKUP(Sales!$D107,Products!$A$2:$A$16,Products!$E$2:$E$16)</f>
        <v>120</v>
      </c>
      <c r="K107" s="8" cm="1">
        <f t="array" ref="K107">_xlfn.IFS(H107&lt;=5,0%,H107&lt;=10,5%,H107&lt;=15,10%,H107&lt;=20,15%,H107&gt;20,20%)</f>
        <v>0.05</v>
      </c>
      <c r="L107" s="5">
        <f t="shared" si="3"/>
        <v>1795.5</v>
      </c>
      <c r="M107" s="5" cm="1">
        <f t="array" ref="M107">L107*_xlfn.IFS(L107&lt;=5000,0.02,L107&lt;=15000,0.04,L107&gt;15000,0.06)</f>
        <v>35.910000000000004</v>
      </c>
      <c r="N107" s="5">
        <f t="shared" si="4"/>
        <v>715.5</v>
      </c>
      <c r="O107" s="8">
        <f t="shared" si="5"/>
        <v>0.39849624060150374</v>
      </c>
    </row>
    <row r="108" spans="1:15" x14ac:dyDescent="0.45">
      <c r="A108" t="s">
        <v>190</v>
      </c>
      <c r="B108" s="4">
        <v>45331</v>
      </c>
      <c r="C108" t="s">
        <v>66</v>
      </c>
      <c r="D108" t="s">
        <v>88</v>
      </c>
      <c r="E108" t="s">
        <v>48</v>
      </c>
      <c r="F108" t="str">
        <f>_xlfn.XLOOKUP(C108,Salespeople!$A$2:$A$11,Salespeople!$C$2:$C$11)</f>
        <v>Americas</v>
      </c>
      <c r="G108" t="str">
        <f>_xlfn.XLOOKUP(C108,Salespeople!$A$2:$A$11,Salespeople!$D$2:$D$11)</f>
        <v>United States</v>
      </c>
      <c r="H108">
        <v>11</v>
      </c>
      <c r="I108" s="5">
        <f>_xlfn.XLOOKUP($D108,Products!$A$2:$A$16,Products!$D$2:$D$16)</f>
        <v>35</v>
      </c>
      <c r="J108" s="5">
        <f>_xlfn.XLOOKUP(Sales!$D108,Products!$A$2:$A$16,Products!$E$2:$E$16)</f>
        <v>14</v>
      </c>
      <c r="K108" s="8" cm="1">
        <f t="array" ref="K108">_xlfn.IFS(H108&lt;=5,0%,H108&lt;=10,5%,H108&lt;=15,10%,H108&lt;=20,15%,H108&gt;20,20%)</f>
        <v>0.1</v>
      </c>
      <c r="L108" s="5">
        <f t="shared" si="3"/>
        <v>346.5</v>
      </c>
      <c r="M108" s="5" cm="1">
        <f t="array" ref="M108">L108*_xlfn.IFS(L108&lt;=5000,0.02,L108&lt;=15000,0.04,L108&gt;15000,0.06)</f>
        <v>6.93</v>
      </c>
      <c r="N108" s="5">
        <f t="shared" si="4"/>
        <v>192.5</v>
      </c>
      <c r="O108" s="8">
        <f t="shared" si="5"/>
        <v>0.55555555555555558</v>
      </c>
    </row>
    <row r="109" spans="1:15" x14ac:dyDescent="0.45">
      <c r="A109" t="s">
        <v>191</v>
      </c>
      <c r="B109" s="4">
        <v>45568</v>
      </c>
      <c r="C109" t="s">
        <v>17</v>
      </c>
      <c r="D109" t="s">
        <v>121</v>
      </c>
      <c r="E109" t="s">
        <v>23</v>
      </c>
      <c r="F109" t="str">
        <f>_xlfn.XLOOKUP(C109,Salespeople!$A$2:$A$11,Salespeople!$C$2:$C$11)</f>
        <v>EMEA</v>
      </c>
      <c r="G109" t="str">
        <f>_xlfn.XLOOKUP(C109,Salespeople!$A$2:$A$11,Salespeople!$D$2:$D$11)</f>
        <v>Portugal</v>
      </c>
      <c r="H109">
        <v>8</v>
      </c>
      <c r="I109" s="5">
        <f>_xlfn.XLOOKUP($D109,Products!$A$2:$A$16,Products!$D$2:$D$16)</f>
        <v>45</v>
      </c>
      <c r="J109" s="5">
        <f>_xlfn.XLOOKUP(Sales!$D109,Products!$A$2:$A$16,Products!$E$2:$E$16)</f>
        <v>19</v>
      </c>
      <c r="K109" s="8" cm="1">
        <f t="array" ref="K109">_xlfn.IFS(H109&lt;=5,0%,H109&lt;=10,5%,H109&lt;=15,10%,H109&lt;=20,15%,H109&gt;20,20%)</f>
        <v>0.05</v>
      </c>
      <c r="L109" s="5">
        <f t="shared" si="3"/>
        <v>342</v>
      </c>
      <c r="M109" s="5" cm="1">
        <f t="array" ref="M109">L109*_xlfn.IFS(L109&lt;=5000,0.02,L109&lt;=15000,0.04,L109&gt;15000,0.06)</f>
        <v>6.84</v>
      </c>
      <c r="N109" s="5">
        <f t="shared" si="4"/>
        <v>190</v>
      </c>
      <c r="O109" s="8">
        <f t="shared" si="5"/>
        <v>0.55555555555555558</v>
      </c>
    </row>
    <row r="110" spans="1:15" x14ac:dyDescent="0.45">
      <c r="A110" t="s">
        <v>192</v>
      </c>
      <c r="B110" s="4">
        <v>45647</v>
      </c>
      <c r="C110" t="s">
        <v>26</v>
      </c>
      <c r="D110" t="s">
        <v>28</v>
      </c>
      <c r="E110" t="s">
        <v>23</v>
      </c>
      <c r="F110" t="str">
        <f>_xlfn.XLOOKUP(C110,Salespeople!$A$2:$A$11,Salespeople!$C$2:$C$11)</f>
        <v>APAC</v>
      </c>
      <c r="G110" t="str">
        <f>_xlfn.XLOOKUP(C110,Salespeople!$A$2:$A$11,Salespeople!$D$2:$D$11)</f>
        <v>Singapore</v>
      </c>
      <c r="H110">
        <v>3</v>
      </c>
      <c r="I110" s="5">
        <f>_xlfn.XLOOKUP($D110,Products!$A$2:$A$16,Products!$D$2:$D$16)</f>
        <v>95</v>
      </c>
      <c r="J110" s="5">
        <f>_xlfn.XLOOKUP(Sales!$D110,Products!$A$2:$A$16,Products!$E$2:$E$16)</f>
        <v>44</v>
      </c>
      <c r="K110" s="8" cm="1">
        <f t="array" ref="K110">_xlfn.IFS(H110&lt;=5,0%,H110&lt;=10,5%,H110&lt;=15,10%,H110&lt;=20,15%,H110&gt;20,20%)</f>
        <v>0</v>
      </c>
      <c r="L110" s="5">
        <f t="shared" si="3"/>
        <v>285</v>
      </c>
      <c r="M110" s="5" cm="1">
        <f t="array" ref="M110">L110*_xlfn.IFS(L110&lt;=5000,0.02,L110&lt;=15000,0.04,L110&gt;15000,0.06)</f>
        <v>5.7</v>
      </c>
      <c r="N110" s="5">
        <f t="shared" si="4"/>
        <v>153</v>
      </c>
      <c r="O110" s="8">
        <f t="shared" si="5"/>
        <v>0.5368421052631579</v>
      </c>
    </row>
    <row r="111" spans="1:15" x14ac:dyDescent="0.45">
      <c r="A111" t="s">
        <v>193</v>
      </c>
      <c r="B111" s="4">
        <v>45500</v>
      </c>
      <c r="C111" t="s">
        <v>83</v>
      </c>
      <c r="D111" t="s">
        <v>62</v>
      </c>
      <c r="E111" t="s">
        <v>48</v>
      </c>
      <c r="F111" t="str">
        <f>_xlfn.XLOOKUP(C111,Salespeople!$A$2:$A$11,Salespeople!$C$2:$C$11)</f>
        <v>EMEA</v>
      </c>
      <c r="G111" t="str">
        <f>_xlfn.XLOOKUP(C111,Salespeople!$A$2:$A$11,Salespeople!$D$2:$D$11)</f>
        <v>United Arab Emirates</v>
      </c>
      <c r="H111">
        <v>14</v>
      </c>
      <c r="I111" s="5">
        <f>_xlfn.XLOOKUP($D111,Products!$A$2:$A$16,Products!$D$2:$D$16)</f>
        <v>1750</v>
      </c>
      <c r="J111" s="5">
        <f>_xlfn.XLOOKUP(Sales!$D111,Products!$A$2:$A$16,Products!$E$2:$E$16)</f>
        <v>1300</v>
      </c>
      <c r="K111" s="8" cm="1">
        <f t="array" ref="K111">_xlfn.IFS(H111&lt;=5,0%,H111&lt;=10,5%,H111&lt;=15,10%,H111&lt;=20,15%,H111&gt;20,20%)</f>
        <v>0.1</v>
      </c>
      <c r="L111" s="5">
        <f t="shared" si="3"/>
        <v>22050</v>
      </c>
      <c r="M111" s="5" cm="1">
        <f t="array" ref="M111">L111*_xlfn.IFS(L111&lt;=5000,0.02,L111&lt;=15000,0.04,L111&gt;15000,0.06)</f>
        <v>1323</v>
      </c>
      <c r="N111" s="5">
        <f t="shared" si="4"/>
        <v>3850</v>
      </c>
      <c r="O111" s="8">
        <f t="shared" si="5"/>
        <v>0.17460317460317459</v>
      </c>
    </row>
    <row r="112" spans="1:15" x14ac:dyDescent="0.45">
      <c r="A112" t="s">
        <v>194</v>
      </c>
      <c r="B112" s="4">
        <v>45397</v>
      </c>
      <c r="C112" t="s">
        <v>33</v>
      </c>
      <c r="D112" t="s">
        <v>44</v>
      </c>
      <c r="E112" t="s">
        <v>14</v>
      </c>
      <c r="F112" t="str">
        <f>_xlfn.XLOOKUP(C112,Salespeople!$A$2:$A$11,Salespeople!$C$2:$C$11)</f>
        <v>EMEA</v>
      </c>
      <c r="G112" t="str">
        <f>_xlfn.XLOOKUP(C112,Salespeople!$A$2:$A$11,Salespeople!$D$2:$D$11)</f>
        <v>Kenya</v>
      </c>
      <c r="H112">
        <v>23</v>
      </c>
      <c r="I112" s="5">
        <f>_xlfn.XLOOKUP($D112,Products!$A$2:$A$16,Products!$D$2:$D$16)</f>
        <v>180</v>
      </c>
      <c r="J112" s="5">
        <f>_xlfn.XLOOKUP(Sales!$D112,Products!$A$2:$A$16,Products!$E$2:$E$16)</f>
        <v>105</v>
      </c>
      <c r="K112" s="8" cm="1">
        <f t="array" ref="K112">_xlfn.IFS(H112&lt;=5,0%,H112&lt;=10,5%,H112&lt;=15,10%,H112&lt;=20,15%,H112&gt;20,20%)</f>
        <v>0.2</v>
      </c>
      <c r="L112" s="5">
        <f t="shared" si="3"/>
        <v>3312</v>
      </c>
      <c r="M112" s="5" cm="1">
        <f t="array" ref="M112">L112*_xlfn.IFS(L112&lt;=5000,0.02,L112&lt;=15000,0.04,L112&gt;15000,0.06)</f>
        <v>66.239999999999995</v>
      </c>
      <c r="N112" s="5">
        <f t="shared" si="4"/>
        <v>897</v>
      </c>
      <c r="O112" s="8">
        <f t="shared" si="5"/>
        <v>0.27083333333333331</v>
      </c>
    </row>
    <row r="113" spans="1:15" x14ac:dyDescent="0.45">
      <c r="A113" t="s">
        <v>195</v>
      </c>
      <c r="B113" s="4">
        <v>45586</v>
      </c>
      <c r="C113" t="s">
        <v>33</v>
      </c>
      <c r="D113" t="s">
        <v>103</v>
      </c>
      <c r="E113" t="s">
        <v>23</v>
      </c>
      <c r="F113" t="str">
        <f>_xlfn.XLOOKUP(C113,Salespeople!$A$2:$A$11,Salespeople!$C$2:$C$11)</f>
        <v>EMEA</v>
      </c>
      <c r="G113" t="str">
        <f>_xlfn.XLOOKUP(C113,Salespeople!$A$2:$A$11,Salespeople!$D$2:$D$11)</f>
        <v>Kenya</v>
      </c>
      <c r="H113">
        <v>12</v>
      </c>
      <c r="I113" s="5">
        <f>_xlfn.XLOOKUP($D113,Products!$A$2:$A$16,Products!$D$2:$D$16)</f>
        <v>1150</v>
      </c>
      <c r="J113" s="5">
        <f>_xlfn.XLOOKUP(Sales!$D113,Products!$A$2:$A$16,Products!$E$2:$E$16)</f>
        <v>820</v>
      </c>
      <c r="K113" s="8" cm="1">
        <f t="array" ref="K113">_xlfn.IFS(H113&lt;=5,0%,H113&lt;=10,5%,H113&lt;=15,10%,H113&lt;=20,15%,H113&gt;20,20%)</f>
        <v>0.1</v>
      </c>
      <c r="L113" s="5">
        <f t="shared" si="3"/>
        <v>12420</v>
      </c>
      <c r="M113" s="5" cm="1">
        <f t="array" ref="M113">L113*_xlfn.IFS(L113&lt;=5000,0.02,L113&lt;=15000,0.04,L113&gt;15000,0.06)</f>
        <v>496.8</v>
      </c>
      <c r="N113" s="5">
        <f t="shared" si="4"/>
        <v>2580</v>
      </c>
      <c r="O113" s="8">
        <f t="shared" si="5"/>
        <v>0.20772946859903382</v>
      </c>
    </row>
    <row r="114" spans="1:15" x14ac:dyDescent="0.45">
      <c r="A114" t="s">
        <v>196</v>
      </c>
      <c r="B114" s="4">
        <v>45491</v>
      </c>
      <c r="C114" t="s">
        <v>33</v>
      </c>
      <c r="D114" t="s">
        <v>62</v>
      </c>
      <c r="E114" t="s">
        <v>14</v>
      </c>
      <c r="F114" t="str">
        <f>_xlfn.XLOOKUP(C114,Salespeople!$A$2:$A$11,Salespeople!$C$2:$C$11)</f>
        <v>EMEA</v>
      </c>
      <c r="G114" t="str">
        <f>_xlfn.XLOOKUP(C114,Salespeople!$A$2:$A$11,Salespeople!$D$2:$D$11)</f>
        <v>Kenya</v>
      </c>
      <c r="H114">
        <v>24</v>
      </c>
      <c r="I114" s="5">
        <f>_xlfn.XLOOKUP($D114,Products!$A$2:$A$16,Products!$D$2:$D$16)</f>
        <v>1750</v>
      </c>
      <c r="J114" s="5">
        <f>_xlfn.XLOOKUP(Sales!$D114,Products!$A$2:$A$16,Products!$E$2:$E$16)</f>
        <v>1300</v>
      </c>
      <c r="K114" s="8" cm="1">
        <f t="array" ref="K114">_xlfn.IFS(H114&lt;=5,0%,H114&lt;=10,5%,H114&lt;=15,10%,H114&lt;=20,15%,H114&gt;20,20%)</f>
        <v>0.2</v>
      </c>
      <c r="L114" s="5">
        <f t="shared" si="3"/>
        <v>33600</v>
      </c>
      <c r="M114" s="5" cm="1">
        <f t="array" ref="M114">L114*_xlfn.IFS(L114&lt;=5000,0.02,L114&lt;=15000,0.04,L114&gt;15000,0.06)</f>
        <v>2016</v>
      </c>
      <c r="N114" s="5">
        <f t="shared" si="4"/>
        <v>2400</v>
      </c>
      <c r="O114" s="8">
        <f t="shared" si="5"/>
        <v>7.1428571428571425E-2</v>
      </c>
    </row>
    <row r="115" spans="1:15" x14ac:dyDescent="0.45">
      <c r="A115" t="s">
        <v>197</v>
      </c>
      <c r="B115" s="4">
        <v>45541</v>
      </c>
      <c r="C115" t="s">
        <v>51</v>
      </c>
      <c r="D115" t="s">
        <v>79</v>
      </c>
      <c r="E115" t="s">
        <v>48</v>
      </c>
      <c r="F115" t="str">
        <f>_xlfn.XLOOKUP(C115,Salespeople!$A$2:$A$11,Salespeople!$C$2:$C$11)</f>
        <v>Americas</v>
      </c>
      <c r="G115" t="str">
        <f>_xlfn.XLOOKUP(C115,Salespeople!$A$2:$A$11,Salespeople!$D$2:$D$11)</f>
        <v>Mexico</v>
      </c>
      <c r="H115">
        <v>16</v>
      </c>
      <c r="I115" s="5">
        <f>_xlfn.XLOOKUP($D115,Products!$A$2:$A$16,Products!$D$2:$D$16)</f>
        <v>240</v>
      </c>
      <c r="J115" s="5">
        <f>_xlfn.XLOOKUP(Sales!$D115,Products!$A$2:$A$16,Products!$E$2:$E$16)</f>
        <v>150</v>
      </c>
      <c r="K115" s="8" cm="1">
        <f t="array" ref="K115">_xlfn.IFS(H115&lt;=5,0%,H115&lt;=10,5%,H115&lt;=15,10%,H115&lt;=20,15%,H115&gt;20,20%)</f>
        <v>0.15</v>
      </c>
      <c r="L115" s="5">
        <f t="shared" si="3"/>
        <v>3264</v>
      </c>
      <c r="M115" s="5" cm="1">
        <f t="array" ref="M115">L115*_xlfn.IFS(L115&lt;=5000,0.02,L115&lt;=15000,0.04,L115&gt;15000,0.06)</f>
        <v>65.28</v>
      </c>
      <c r="N115" s="5">
        <f t="shared" si="4"/>
        <v>864</v>
      </c>
      <c r="O115" s="8">
        <f t="shared" si="5"/>
        <v>0.26470588235294118</v>
      </c>
    </row>
    <row r="116" spans="1:15" x14ac:dyDescent="0.45">
      <c r="A116" t="s">
        <v>198</v>
      </c>
      <c r="B116" s="4">
        <v>45491</v>
      </c>
      <c r="C116" t="s">
        <v>83</v>
      </c>
      <c r="D116" t="s">
        <v>74</v>
      </c>
      <c r="E116" t="s">
        <v>14</v>
      </c>
      <c r="F116" t="str">
        <f>_xlfn.XLOOKUP(C116,Salespeople!$A$2:$A$11,Salespeople!$C$2:$C$11)</f>
        <v>EMEA</v>
      </c>
      <c r="G116" t="str">
        <f>_xlfn.XLOOKUP(C116,Salespeople!$A$2:$A$11,Salespeople!$D$2:$D$11)</f>
        <v>United Arab Emirates</v>
      </c>
      <c r="H116">
        <v>13</v>
      </c>
      <c r="I116" s="5">
        <f>_xlfn.XLOOKUP($D116,Products!$A$2:$A$16,Products!$D$2:$D$16)</f>
        <v>210</v>
      </c>
      <c r="J116" s="5">
        <f>_xlfn.XLOOKUP(Sales!$D116,Products!$A$2:$A$16,Products!$E$2:$E$16)</f>
        <v>120</v>
      </c>
      <c r="K116" s="8" cm="1">
        <f t="array" ref="K116">_xlfn.IFS(H116&lt;=5,0%,H116&lt;=10,5%,H116&lt;=15,10%,H116&lt;=20,15%,H116&gt;20,20%)</f>
        <v>0.1</v>
      </c>
      <c r="L116" s="5">
        <f t="shared" si="3"/>
        <v>2457</v>
      </c>
      <c r="M116" s="5" cm="1">
        <f t="array" ref="M116">L116*_xlfn.IFS(L116&lt;=5000,0.02,L116&lt;=15000,0.04,L116&gt;15000,0.06)</f>
        <v>49.14</v>
      </c>
      <c r="N116" s="5">
        <f t="shared" si="4"/>
        <v>897</v>
      </c>
      <c r="O116" s="8">
        <f t="shared" si="5"/>
        <v>0.36507936507936506</v>
      </c>
    </row>
    <row r="117" spans="1:15" x14ac:dyDescent="0.45">
      <c r="A117" t="s">
        <v>199</v>
      </c>
      <c r="B117" s="4">
        <v>45531</v>
      </c>
      <c r="C117" t="s">
        <v>26</v>
      </c>
      <c r="D117" t="s">
        <v>40</v>
      </c>
      <c r="E117" t="s">
        <v>14</v>
      </c>
      <c r="F117" t="str">
        <f>_xlfn.XLOOKUP(C117,Salespeople!$A$2:$A$11,Salespeople!$C$2:$C$11)</f>
        <v>APAC</v>
      </c>
      <c r="G117" t="str">
        <f>_xlfn.XLOOKUP(C117,Salespeople!$A$2:$A$11,Salespeople!$D$2:$D$11)</f>
        <v>Singapore</v>
      </c>
      <c r="H117">
        <v>1</v>
      </c>
      <c r="I117" s="5">
        <f>_xlfn.XLOOKUP($D117,Products!$A$2:$A$16,Products!$D$2:$D$16)</f>
        <v>1050</v>
      </c>
      <c r="J117" s="5">
        <f>_xlfn.XLOOKUP(Sales!$D117,Products!$A$2:$A$16,Products!$E$2:$E$16)</f>
        <v>760</v>
      </c>
      <c r="K117" s="8" cm="1">
        <f t="array" ref="K117">_xlfn.IFS(H117&lt;=5,0%,H117&lt;=10,5%,H117&lt;=15,10%,H117&lt;=20,15%,H117&gt;20,20%)</f>
        <v>0</v>
      </c>
      <c r="L117" s="5">
        <f t="shared" si="3"/>
        <v>1050</v>
      </c>
      <c r="M117" s="5" cm="1">
        <f t="array" ref="M117">L117*_xlfn.IFS(L117&lt;=5000,0.02,L117&lt;=15000,0.04,L117&gt;15000,0.06)</f>
        <v>21</v>
      </c>
      <c r="N117" s="5">
        <f t="shared" si="4"/>
        <v>290</v>
      </c>
      <c r="O117" s="8">
        <f t="shared" si="5"/>
        <v>0.27619047619047621</v>
      </c>
    </row>
    <row r="118" spans="1:15" x14ac:dyDescent="0.45">
      <c r="A118" t="s">
        <v>200</v>
      </c>
      <c r="B118" s="4">
        <v>45595</v>
      </c>
      <c r="C118" t="s">
        <v>139</v>
      </c>
      <c r="D118" t="s">
        <v>74</v>
      </c>
      <c r="E118" t="s">
        <v>23</v>
      </c>
      <c r="F118" t="str">
        <f>_xlfn.XLOOKUP(C118,Salespeople!$A$2:$A$11,Salespeople!$C$2:$C$11)</f>
        <v>Americas</v>
      </c>
      <c r="G118" t="str">
        <f>_xlfn.XLOOKUP(C118,Salespeople!$A$2:$A$11,Salespeople!$D$2:$D$11)</f>
        <v>Canada</v>
      </c>
      <c r="H118">
        <v>3</v>
      </c>
      <c r="I118" s="5">
        <f>_xlfn.XLOOKUP($D118,Products!$A$2:$A$16,Products!$D$2:$D$16)</f>
        <v>210</v>
      </c>
      <c r="J118" s="5">
        <f>_xlfn.XLOOKUP(Sales!$D118,Products!$A$2:$A$16,Products!$E$2:$E$16)</f>
        <v>120</v>
      </c>
      <c r="K118" s="8" cm="1">
        <f t="array" ref="K118">_xlfn.IFS(H118&lt;=5,0%,H118&lt;=10,5%,H118&lt;=15,10%,H118&lt;=20,15%,H118&gt;20,20%)</f>
        <v>0</v>
      </c>
      <c r="L118" s="5">
        <f t="shared" si="3"/>
        <v>630</v>
      </c>
      <c r="M118" s="5" cm="1">
        <f t="array" ref="M118">L118*_xlfn.IFS(L118&lt;=5000,0.02,L118&lt;=15000,0.04,L118&gt;15000,0.06)</f>
        <v>12.6</v>
      </c>
      <c r="N118" s="5">
        <f t="shared" si="4"/>
        <v>270</v>
      </c>
      <c r="O118" s="8">
        <f t="shared" si="5"/>
        <v>0.42857142857142855</v>
      </c>
    </row>
    <row r="119" spans="1:15" x14ac:dyDescent="0.45">
      <c r="A119" t="s">
        <v>201</v>
      </c>
      <c r="B119" s="4">
        <v>45361</v>
      </c>
      <c r="C119" t="s">
        <v>60</v>
      </c>
      <c r="D119" t="s">
        <v>121</v>
      </c>
      <c r="E119" t="s">
        <v>23</v>
      </c>
      <c r="F119" t="str">
        <f>_xlfn.XLOOKUP(C119,Salespeople!$A$2:$A$11,Salespeople!$C$2:$C$11)</f>
        <v>APAC</v>
      </c>
      <c r="G119" t="str">
        <f>_xlfn.XLOOKUP(C119,Salespeople!$A$2:$A$11,Salespeople!$D$2:$D$11)</f>
        <v>Japan</v>
      </c>
      <c r="H119">
        <v>9</v>
      </c>
      <c r="I119" s="5">
        <f>_xlfn.XLOOKUP($D119,Products!$A$2:$A$16,Products!$D$2:$D$16)</f>
        <v>45</v>
      </c>
      <c r="J119" s="5">
        <f>_xlfn.XLOOKUP(Sales!$D119,Products!$A$2:$A$16,Products!$E$2:$E$16)</f>
        <v>19</v>
      </c>
      <c r="K119" s="8" cm="1">
        <f t="array" ref="K119">_xlfn.IFS(H119&lt;=5,0%,H119&lt;=10,5%,H119&lt;=15,10%,H119&lt;=20,15%,H119&gt;20,20%)</f>
        <v>0.05</v>
      </c>
      <c r="L119" s="5">
        <f t="shared" si="3"/>
        <v>384.75</v>
      </c>
      <c r="M119" s="5" cm="1">
        <f t="array" ref="M119">L119*_xlfn.IFS(L119&lt;=5000,0.02,L119&lt;=15000,0.04,L119&gt;15000,0.06)</f>
        <v>7.6950000000000003</v>
      </c>
      <c r="N119" s="5">
        <f t="shared" si="4"/>
        <v>213.75</v>
      </c>
      <c r="O119" s="8">
        <f t="shared" si="5"/>
        <v>0.55555555555555558</v>
      </c>
    </row>
    <row r="120" spans="1:15" x14ac:dyDescent="0.45">
      <c r="A120" t="s">
        <v>202</v>
      </c>
      <c r="B120" s="4">
        <v>45459</v>
      </c>
      <c r="C120" t="s">
        <v>51</v>
      </c>
      <c r="D120" t="s">
        <v>103</v>
      </c>
      <c r="E120" t="s">
        <v>48</v>
      </c>
      <c r="F120" t="str">
        <f>_xlfn.XLOOKUP(C120,Salespeople!$A$2:$A$11,Salespeople!$C$2:$C$11)</f>
        <v>Americas</v>
      </c>
      <c r="G120" t="str">
        <f>_xlfn.XLOOKUP(C120,Salespeople!$A$2:$A$11,Salespeople!$D$2:$D$11)</f>
        <v>Mexico</v>
      </c>
      <c r="H120">
        <v>11</v>
      </c>
      <c r="I120" s="5">
        <f>_xlfn.XLOOKUP($D120,Products!$A$2:$A$16,Products!$D$2:$D$16)</f>
        <v>1150</v>
      </c>
      <c r="J120" s="5">
        <f>_xlfn.XLOOKUP(Sales!$D120,Products!$A$2:$A$16,Products!$E$2:$E$16)</f>
        <v>820</v>
      </c>
      <c r="K120" s="8" cm="1">
        <f t="array" ref="K120">_xlfn.IFS(H120&lt;=5,0%,H120&lt;=10,5%,H120&lt;=15,10%,H120&lt;=20,15%,H120&gt;20,20%)</f>
        <v>0.1</v>
      </c>
      <c r="L120" s="5">
        <f t="shared" si="3"/>
        <v>11385</v>
      </c>
      <c r="M120" s="5" cm="1">
        <f t="array" ref="M120">L120*_xlfn.IFS(L120&lt;=5000,0.02,L120&lt;=15000,0.04,L120&gt;15000,0.06)</f>
        <v>455.40000000000003</v>
      </c>
      <c r="N120" s="5">
        <f t="shared" si="4"/>
        <v>2365</v>
      </c>
      <c r="O120" s="8">
        <f t="shared" si="5"/>
        <v>0.20772946859903382</v>
      </c>
    </row>
    <row r="121" spans="1:15" x14ac:dyDescent="0.45">
      <c r="A121" t="s">
        <v>203</v>
      </c>
      <c r="B121" s="4">
        <v>45434</v>
      </c>
      <c r="C121" t="s">
        <v>33</v>
      </c>
      <c r="D121" t="s">
        <v>79</v>
      </c>
      <c r="E121" t="s">
        <v>23</v>
      </c>
      <c r="F121" t="str">
        <f>_xlfn.XLOOKUP(C121,Salespeople!$A$2:$A$11,Salespeople!$C$2:$C$11)</f>
        <v>EMEA</v>
      </c>
      <c r="G121" t="str">
        <f>_xlfn.XLOOKUP(C121,Salespeople!$A$2:$A$11,Salespeople!$D$2:$D$11)</f>
        <v>Kenya</v>
      </c>
      <c r="H121">
        <v>16</v>
      </c>
      <c r="I121" s="5">
        <f>_xlfn.XLOOKUP($D121,Products!$A$2:$A$16,Products!$D$2:$D$16)</f>
        <v>240</v>
      </c>
      <c r="J121" s="5">
        <f>_xlfn.XLOOKUP(Sales!$D121,Products!$A$2:$A$16,Products!$E$2:$E$16)</f>
        <v>150</v>
      </c>
      <c r="K121" s="8" cm="1">
        <f t="array" ref="K121">_xlfn.IFS(H121&lt;=5,0%,H121&lt;=10,5%,H121&lt;=15,10%,H121&lt;=20,15%,H121&gt;20,20%)</f>
        <v>0.15</v>
      </c>
      <c r="L121" s="5">
        <f t="shared" si="3"/>
        <v>3264</v>
      </c>
      <c r="M121" s="5" cm="1">
        <f t="array" ref="M121">L121*_xlfn.IFS(L121&lt;=5000,0.02,L121&lt;=15000,0.04,L121&gt;15000,0.06)</f>
        <v>65.28</v>
      </c>
      <c r="N121" s="5">
        <f t="shared" si="4"/>
        <v>864</v>
      </c>
      <c r="O121" s="8">
        <f t="shared" si="5"/>
        <v>0.26470588235294118</v>
      </c>
    </row>
    <row r="122" spans="1:15" x14ac:dyDescent="0.45">
      <c r="A122" t="s">
        <v>204</v>
      </c>
      <c r="B122" s="4">
        <v>45568</v>
      </c>
      <c r="C122" t="s">
        <v>131</v>
      </c>
      <c r="D122" t="s">
        <v>56</v>
      </c>
      <c r="E122" t="s">
        <v>23</v>
      </c>
      <c r="F122" t="str">
        <f>_xlfn.XLOOKUP(C122,Salespeople!$A$2:$A$11,Salespeople!$C$2:$C$11)</f>
        <v>EMEA</v>
      </c>
      <c r="G122" t="str">
        <f>_xlfn.XLOOKUP(C122,Salespeople!$A$2:$A$11,Salespeople!$D$2:$D$11)</f>
        <v>United Kingdom</v>
      </c>
      <c r="H122">
        <v>21</v>
      </c>
      <c r="I122" s="5">
        <f>_xlfn.XLOOKUP($D122,Products!$A$2:$A$16,Products!$D$2:$D$16)</f>
        <v>520</v>
      </c>
      <c r="J122" s="5">
        <f>_xlfn.XLOOKUP(Sales!$D122,Products!$A$2:$A$16,Products!$E$2:$E$16)</f>
        <v>360</v>
      </c>
      <c r="K122" s="8" cm="1">
        <f t="array" ref="K122">_xlfn.IFS(H122&lt;=5,0%,H122&lt;=10,5%,H122&lt;=15,10%,H122&lt;=20,15%,H122&gt;20,20%)</f>
        <v>0.2</v>
      </c>
      <c r="L122" s="5">
        <f t="shared" si="3"/>
        <v>8736</v>
      </c>
      <c r="M122" s="5" cm="1">
        <f t="array" ref="M122">L122*_xlfn.IFS(L122&lt;=5000,0.02,L122&lt;=15000,0.04,L122&gt;15000,0.06)</f>
        <v>349.44</v>
      </c>
      <c r="N122" s="5">
        <f t="shared" si="4"/>
        <v>1176</v>
      </c>
      <c r="O122" s="8">
        <f t="shared" si="5"/>
        <v>0.13461538461538461</v>
      </c>
    </row>
    <row r="123" spans="1:15" x14ac:dyDescent="0.45">
      <c r="A123" t="s">
        <v>205</v>
      </c>
      <c r="B123" s="4">
        <v>45625</v>
      </c>
      <c r="C123" t="s">
        <v>131</v>
      </c>
      <c r="D123" t="s">
        <v>53</v>
      </c>
      <c r="E123" t="s">
        <v>23</v>
      </c>
      <c r="F123" t="str">
        <f>_xlfn.XLOOKUP(C123,Salespeople!$A$2:$A$11,Salespeople!$C$2:$C$11)</f>
        <v>EMEA</v>
      </c>
      <c r="G123" t="str">
        <f>_xlfn.XLOOKUP(C123,Salespeople!$A$2:$A$11,Salespeople!$D$2:$D$11)</f>
        <v>United Kingdom</v>
      </c>
      <c r="H123">
        <v>8</v>
      </c>
      <c r="I123" s="5">
        <f>_xlfn.XLOOKUP($D123,Products!$A$2:$A$16,Products!$D$2:$D$16)</f>
        <v>130</v>
      </c>
      <c r="J123" s="5">
        <f>_xlfn.XLOOKUP(Sales!$D123,Products!$A$2:$A$16,Products!$E$2:$E$16)</f>
        <v>62</v>
      </c>
      <c r="K123" s="8" cm="1">
        <f t="array" ref="K123">_xlfn.IFS(H123&lt;=5,0%,H123&lt;=10,5%,H123&lt;=15,10%,H123&lt;=20,15%,H123&gt;20,20%)</f>
        <v>0.05</v>
      </c>
      <c r="L123" s="5">
        <f t="shared" si="3"/>
        <v>988</v>
      </c>
      <c r="M123" s="5" cm="1">
        <f t="array" ref="M123">L123*_xlfn.IFS(L123&lt;=5000,0.02,L123&lt;=15000,0.04,L123&gt;15000,0.06)</f>
        <v>19.760000000000002</v>
      </c>
      <c r="N123" s="5">
        <f t="shared" si="4"/>
        <v>492</v>
      </c>
      <c r="O123" s="8">
        <f t="shared" si="5"/>
        <v>0.49797570850202427</v>
      </c>
    </row>
    <row r="124" spans="1:15" x14ac:dyDescent="0.45">
      <c r="A124" t="s">
        <v>206</v>
      </c>
      <c r="B124" s="4">
        <v>45302</v>
      </c>
      <c r="C124" t="s">
        <v>139</v>
      </c>
      <c r="D124" t="s">
        <v>121</v>
      </c>
      <c r="E124" t="s">
        <v>23</v>
      </c>
      <c r="F124" t="str">
        <f>_xlfn.XLOOKUP(C124,Salespeople!$A$2:$A$11,Salespeople!$C$2:$C$11)</f>
        <v>Americas</v>
      </c>
      <c r="G124" t="str">
        <f>_xlfn.XLOOKUP(C124,Salespeople!$A$2:$A$11,Salespeople!$D$2:$D$11)</f>
        <v>Canada</v>
      </c>
      <c r="H124">
        <v>5</v>
      </c>
      <c r="I124" s="5">
        <f>_xlfn.XLOOKUP($D124,Products!$A$2:$A$16,Products!$D$2:$D$16)</f>
        <v>45</v>
      </c>
      <c r="J124" s="5">
        <f>_xlfn.XLOOKUP(Sales!$D124,Products!$A$2:$A$16,Products!$E$2:$E$16)</f>
        <v>19</v>
      </c>
      <c r="K124" s="8" cm="1">
        <f t="array" ref="K124">_xlfn.IFS(H124&lt;=5,0%,H124&lt;=10,5%,H124&lt;=15,10%,H124&lt;=20,15%,H124&gt;20,20%)</f>
        <v>0</v>
      </c>
      <c r="L124" s="5">
        <f t="shared" si="3"/>
        <v>225</v>
      </c>
      <c r="M124" s="5" cm="1">
        <f t="array" ref="M124">L124*_xlfn.IFS(L124&lt;=5000,0.02,L124&lt;=15000,0.04,L124&gt;15000,0.06)</f>
        <v>4.5</v>
      </c>
      <c r="N124" s="5">
        <f t="shared" si="4"/>
        <v>130</v>
      </c>
      <c r="O124" s="8">
        <f t="shared" si="5"/>
        <v>0.57777777777777772</v>
      </c>
    </row>
    <row r="125" spans="1:15" x14ac:dyDescent="0.45">
      <c r="A125" t="s">
        <v>207</v>
      </c>
      <c r="B125" s="4">
        <v>45634</v>
      </c>
      <c r="C125" t="s">
        <v>17</v>
      </c>
      <c r="D125" t="s">
        <v>40</v>
      </c>
      <c r="E125" t="s">
        <v>23</v>
      </c>
      <c r="F125" t="str">
        <f>_xlfn.XLOOKUP(C125,Salespeople!$A$2:$A$11,Salespeople!$C$2:$C$11)</f>
        <v>EMEA</v>
      </c>
      <c r="G125" t="str">
        <f>_xlfn.XLOOKUP(C125,Salespeople!$A$2:$A$11,Salespeople!$D$2:$D$11)</f>
        <v>Portugal</v>
      </c>
      <c r="H125">
        <v>15</v>
      </c>
      <c r="I125" s="5">
        <f>_xlfn.XLOOKUP($D125,Products!$A$2:$A$16,Products!$D$2:$D$16)</f>
        <v>1050</v>
      </c>
      <c r="J125" s="5">
        <f>_xlfn.XLOOKUP(Sales!$D125,Products!$A$2:$A$16,Products!$E$2:$E$16)</f>
        <v>760</v>
      </c>
      <c r="K125" s="8" cm="1">
        <f t="array" ref="K125">_xlfn.IFS(H125&lt;=5,0%,H125&lt;=10,5%,H125&lt;=15,10%,H125&lt;=20,15%,H125&gt;20,20%)</f>
        <v>0.1</v>
      </c>
      <c r="L125" s="5">
        <f t="shared" si="3"/>
        <v>14175</v>
      </c>
      <c r="M125" s="5" cm="1">
        <f t="array" ref="M125">L125*_xlfn.IFS(L125&lt;=5000,0.02,L125&lt;=15000,0.04,L125&gt;15000,0.06)</f>
        <v>567</v>
      </c>
      <c r="N125" s="5">
        <f t="shared" si="4"/>
        <v>2775</v>
      </c>
      <c r="O125" s="8">
        <f t="shared" si="5"/>
        <v>0.19576719576719576</v>
      </c>
    </row>
    <row r="126" spans="1:15" x14ac:dyDescent="0.45">
      <c r="A126" t="s">
        <v>208</v>
      </c>
      <c r="B126" s="4">
        <v>45480</v>
      </c>
      <c r="C126" t="s">
        <v>26</v>
      </c>
      <c r="D126" t="s">
        <v>40</v>
      </c>
      <c r="E126" t="s">
        <v>14</v>
      </c>
      <c r="F126" t="str">
        <f>_xlfn.XLOOKUP(C126,Salespeople!$A$2:$A$11,Salespeople!$C$2:$C$11)</f>
        <v>APAC</v>
      </c>
      <c r="G126" t="str">
        <f>_xlfn.XLOOKUP(C126,Salespeople!$A$2:$A$11,Salespeople!$D$2:$D$11)</f>
        <v>Singapore</v>
      </c>
      <c r="H126">
        <v>24</v>
      </c>
      <c r="I126" s="5">
        <f>_xlfn.XLOOKUP($D126,Products!$A$2:$A$16,Products!$D$2:$D$16)</f>
        <v>1050</v>
      </c>
      <c r="J126" s="5">
        <f>_xlfn.XLOOKUP(Sales!$D126,Products!$A$2:$A$16,Products!$E$2:$E$16)</f>
        <v>760</v>
      </c>
      <c r="K126" s="8" cm="1">
        <f t="array" ref="K126">_xlfn.IFS(H126&lt;=5,0%,H126&lt;=10,5%,H126&lt;=15,10%,H126&lt;=20,15%,H126&gt;20,20%)</f>
        <v>0.2</v>
      </c>
      <c r="L126" s="5">
        <f t="shared" si="3"/>
        <v>20160</v>
      </c>
      <c r="M126" s="5" cm="1">
        <f t="array" ref="M126">L126*_xlfn.IFS(L126&lt;=5000,0.02,L126&lt;=15000,0.04,L126&gt;15000,0.06)</f>
        <v>1209.5999999999999</v>
      </c>
      <c r="N126" s="5">
        <f t="shared" si="4"/>
        <v>1920</v>
      </c>
      <c r="O126" s="8">
        <f t="shared" si="5"/>
        <v>9.5238095238095233E-2</v>
      </c>
    </row>
    <row r="127" spans="1:15" x14ac:dyDescent="0.45">
      <c r="A127" t="s">
        <v>209</v>
      </c>
      <c r="B127" s="4">
        <v>45375</v>
      </c>
      <c r="C127" t="s">
        <v>66</v>
      </c>
      <c r="D127" t="s">
        <v>134</v>
      </c>
      <c r="E127" t="s">
        <v>14</v>
      </c>
      <c r="F127" t="str">
        <f>_xlfn.XLOOKUP(C127,Salespeople!$A$2:$A$11,Salespeople!$C$2:$C$11)</f>
        <v>Americas</v>
      </c>
      <c r="G127" t="str">
        <f>_xlfn.XLOOKUP(C127,Salespeople!$A$2:$A$11,Salespeople!$D$2:$D$11)</f>
        <v>United States</v>
      </c>
      <c r="H127">
        <v>1</v>
      </c>
      <c r="I127" s="5">
        <f>_xlfn.XLOOKUP($D127,Products!$A$2:$A$16,Products!$D$2:$D$16)</f>
        <v>79</v>
      </c>
      <c r="J127" s="5">
        <f>_xlfn.XLOOKUP(Sales!$D127,Products!$A$2:$A$16,Products!$E$2:$E$16)</f>
        <v>38</v>
      </c>
      <c r="K127" s="8" cm="1">
        <f t="array" ref="K127">_xlfn.IFS(H127&lt;=5,0%,H127&lt;=10,5%,H127&lt;=15,10%,H127&lt;=20,15%,H127&gt;20,20%)</f>
        <v>0</v>
      </c>
      <c r="L127" s="5">
        <f t="shared" si="3"/>
        <v>79</v>
      </c>
      <c r="M127" s="5" cm="1">
        <f t="array" ref="M127">L127*_xlfn.IFS(L127&lt;=5000,0.02,L127&lt;=15000,0.04,L127&gt;15000,0.06)</f>
        <v>1.58</v>
      </c>
      <c r="N127" s="5">
        <f t="shared" si="4"/>
        <v>41</v>
      </c>
      <c r="O127" s="8">
        <f t="shared" si="5"/>
        <v>0.51898734177215189</v>
      </c>
    </row>
    <row r="128" spans="1:15" x14ac:dyDescent="0.45">
      <c r="A128" t="s">
        <v>210</v>
      </c>
      <c r="B128" s="4">
        <v>45586</v>
      </c>
      <c r="C128" t="s">
        <v>33</v>
      </c>
      <c r="D128" t="s">
        <v>44</v>
      </c>
      <c r="E128" t="s">
        <v>14</v>
      </c>
      <c r="F128" t="str">
        <f>_xlfn.XLOOKUP(C128,Salespeople!$A$2:$A$11,Salespeople!$C$2:$C$11)</f>
        <v>EMEA</v>
      </c>
      <c r="G128" t="str">
        <f>_xlfn.XLOOKUP(C128,Salespeople!$A$2:$A$11,Salespeople!$D$2:$D$11)</f>
        <v>Kenya</v>
      </c>
      <c r="H128">
        <v>7</v>
      </c>
      <c r="I128" s="5">
        <f>_xlfn.XLOOKUP($D128,Products!$A$2:$A$16,Products!$D$2:$D$16)</f>
        <v>180</v>
      </c>
      <c r="J128" s="5">
        <f>_xlfn.XLOOKUP(Sales!$D128,Products!$A$2:$A$16,Products!$E$2:$E$16)</f>
        <v>105</v>
      </c>
      <c r="K128" s="8" cm="1">
        <f t="array" ref="K128">_xlfn.IFS(H128&lt;=5,0%,H128&lt;=10,5%,H128&lt;=15,10%,H128&lt;=20,15%,H128&gt;20,20%)</f>
        <v>0.05</v>
      </c>
      <c r="L128" s="5">
        <f t="shared" si="3"/>
        <v>1197</v>
      </c>
      <c r="M128" s="5" cm="1">
        <f t="array" ref="M128">L128*_xlfn.IFS(L128&lt;=5000,0.02,L128&lt;=15000,0.04,L128&gt;15000,0.06)</f>
        <v>23.94</v>
      </c>
      <c r="N128" s="5">
        <f t="shared" si="4"/>
        <v>462</v>
      </c>
      <c r="O128" s="8">
        <f t="shared" si="5"/>
        <v>0.38596491228070173</v>
      </c>
    </row>
    <row r="129" spans="1:15" x14ac:dyDescent="0.45">
      <c r="A129" t="s">
        <v>211</v>
      </c>
      <c r="B129" s="4">
        <v>45595</v>
      </c>
      <c r="C129" t="s">
        <v>51</v>
      </c>
      <c r="D129" t="s">
        <v>134</v>
      </c>
      <c r="E129" t="s">
        <v>14</v>
      </c>
      <c r="F129" t="str">
        <f>_xlfn.XLOOKUP(C129,Salespeople!$A$2:$A$11,Salespeople!$C$2:$C$11)</f>
        <v>Americas</v>
      </c>
      <c r="G129" t="str">
        <f>_xlfn.XLOOKUP(C129,Salespeople!$A$2:$A$11,Salespeople!$D$2:$D$11)</f>
        <v>Mexico</v>
      </c>
      <c r="H129">
        <v>25</v>
      </c>
      <c r="I129" s="5">
        <f>_xlfn.XLOOKUP($D129,Products!$A$2:$A$16,Products!$D$2:$D$16)</f>
        <v>79</v>
      </c>
      <c r="J129" s="5">
        <f>_xlfn.XLOOKUP(Sales!$D129,Products!$A$2:$A$16,Products!$E$2:$E$16)</f>
        <v>38</v>
      </c>
      <c r="K129" s="8" cm="1">
        <f t="array" ref="K129">_xlfn.IFS(H129&lt;=5,0%,H129&lt;=10,5%,H129&lt;=15,10%,H129&lt;=20,15%,H129&gt;20,20%)</f>
        <v>0.2</v>
      </c>
      <c r="L129" s="5">
        <f t="shared" si="3"/>
        <v>1580</v>
      </c>
      <c r="M129" s="5" cm="1">
        <f t="array" ref="M129">L129*_xlfn.IFS(L129&lt;=5000,0.02,L129&lt;=15000,0.04,L129&gt;15000,0.06)</f>
        <v>31.6</v>
      </c>
      <c r="N129" s="5">
        <f t="shared" si="4"/>
        <v>630</v>
      </c>
      <c r="O129" s="8">
        <f t="shared" si="5"/>
        <v>0.39873417721518989</v>
      </c>
    </row>
    <row r="130" spans="1:15" x14ac:dyDescent="0.45">
      <c r="A130" t="s">
        <v>212</v>
      </c>
      <c r="B130" s="4">
        <v>45642</v>
      </c>
      <c r="C130" t="s">
        <v>139</v>
      </c>
      <c r="D130" t="s">
        <v>53</v>
      </c>
      <c r="E130" t="s">
        <v>23</v>
      </c>
      <c r="F130" t="str">
        <f>_xlfn.XLOOKUP(C130,Salespeople!$A$2:$A$11,Salespeople!$C$2:$C$11)</f>
        <v>Americas</v>
      </c>
      <c r="G130" t="str">
        <f>_xlfn.XLOOKUP(C130,Salespeople!$A$2:$A$11,Salespeople!$D$2:$D$11)</f>
        <v>Canada</v>
      </c>
      <c r="H130">
        <v>19</v>
      </c>
      <c r="I130" s="5">
        <f>_xlfn.XLOOKUP($D130,Products!$A$2:$A$16,Products!$D$2:$D$16)</f>
        <v>130</v>
      </c>
      <c r="J130" s="5">
        <f>_xlfn.XLOOKUP(Sales!$D130,Products!$A$2:$A$16,Products!$E$2:$E$16)</f>
        <v>62</v>
      </c>
      <c r="K130" s="8" cm="1">
        <f t="array" ref="K130">_xlfn.IFS(H130&lt;=5,0%,H130&lt;=10,5%,H130&lt;=15,10%,H130&lt;=20,15%,H130&gt;20,20%)</f>
        <v>0.15</v>
      </c>
      <c r="L130" s="5">
        <f t="shared" si="3"/>
        <v>2099.5</v>
      </c>
      <c r="M130" s="5" cm="1">
        <f t="array" ref="M130">L130*_xlfn.IFS(L130&lt;=5000,0.02,L130&lt;=15000,0.04,L130&gt;15000,0.06)</f>
        <v>41.99</v>
      </c>
      <c r="N130" s="5">
        <f t="shared" si="4"/>
        <v>921.5</v>
      </c>
      <c r="O130" s="8">
        <f t="shared" si="5"/>
        <v>0.43891402714932126</v>
      </c>
    </row>
    <row r="131" spans="1:15" x14ac:dyDescent="0.45">
      <c r="A131" t="s">
        <v>213</v>
      </c>
      <c r="B131" s="4">
        <v>45469</v>
      </c>
      <c r="C131" t="s">
        <v>38</v>
      </c>
      <c r="D131" t="s">
        <v>44</v>
      </c>
      <c r="E131" t="s">
        <v>14</v>
      </c>
      <c r="F131" t="str">
        <f>_xlfn.XLOOKUP(C131,Salespeople!$A$2:$A$11,Salespeople!$C$2:$C$11)</f>
        <v>Americas</v>
      </c>
      <c r="G131" t="str">
        <f>_xlfn.XLOOKUP(C131,Salespeople!$A$2:$A$11,Salespeople!$D$2:$D$11)</f>
        <v>Brazil</v>
      </c>
      <c r="H131">
        <v>12</v>
      </c>
      <c r="I131" s="5">
        <f>_xlfn.XLOOKUP($D131,Products!$A$2:$A$16,Products!$D$2:$D$16)</f>
        <v>180</v>
      </c>
      <c r="J131" s="5">
        <f>_xlfn.XLOOKUP(Sales!$D131,Products!$A$2:$A$16,Products!$E$2:$E$16)</f>
        <v>105</v>
      </c>
      <c r="K131" s="8" cm="1">
        <f t="array" ref="K131">_xlfn.IFS(H131&lt;=5,0%,H131&lt;=10,5%,H131&lt;=15,10%,H131&lt;=20,15%,H131&gt;20,20%)</f>
        <v>0.1</v>
      </c>
      <c r="L131" s="5">
        <f t="shared" ref="L131:L194" si="6">H131*I131*(1-K131)</f>
        <v>1944</v>
      </c>
      <c r="M131" s="5" cm="1">
        <f t="array" ref="M131">L131*_xlfn.IFS(L131&lt;=5000,0.02,L131&lt;=15000,0.04,L131&gt;15000,0.06)</f>
        <v>38.880000000000003</v>
      </c>
      <c r="N131" s="5">
        <f t="shared" ref="N131:N194" si="7">L131-(H131*J131)</f>
        <v>684</v>
      </c>
      <c r="O131" s="8">
        <f t="shared" ref="O131:O194" si="8">N131/L131</f>
        <v>0.35185185185185186</v>
      </c>
    </row>
    <row r="132" spans="1:15" x14ac:dyDescent="0.45">
      <c r="A132" t="s">
        <v>214</v>
      </c>
      <c r="B132" s="4">
        <v>45551</v>
      </c>
      <c r="C132" t="s">
        <v>83</v>
      </c>
      <c r="D132" t="s">
        <v>19</v>
      </c>
      <c r="E132" t="s">
        <v>48</v>
      </c>
      <c r="F132" t="str">
        <f>_xlfn.XLOOKUP(C132,Salespeople!$A$2:$A$11,Salespeople!$C$2:$C$11)</f>
        <v>EMEA</v>
      </c>
      <c r="G132" t="str">
        <f>_xlfn.XLOOKUP(C132,Salespeople!$A$2:$A$11,Salespeople!$D$2:$D$11)</f>
        <v>United Arab Emirates</v>
      </c>
      <c r="H132">
        <v>16</v>
      </c>
      <c r="I132" s="5">
        <f>_xlfn.XLOOKUP($D132,Products!$A$2:$A$16,Products!$D$2:$D$16)</f>
        <v>25</v>
      </c>
      <c r="J132" s="5">
        <f>_xlfn.XLOOKUP(Sales!$D132,Products!$A$2:$A$16,Products!$E$2:$E$16)</f>
        <v>11</v>
      </c>
      <c r="K132" s="8" cm="1">
        <f t="array" ref="K132">_xlfn.IFS(H132&lt;=5,0%,H132&lt;=10,5%,H132&lt;=15,10%,H132&lt;=20,15%,H132&gt;20,20%)</f>
        <v>0.15</v>
      </c>
      <c r="L132" s="5">
        <f t="shared" si="6"/>
        <v>340</v>
      </c>
      <c r="M132" s="5" cm="1">
        <f t="array" ref="M132">L132*_xlfn.IFS(L132&lt;=5000,0.02,L132&lt;=15000,0.04,L132&gt;15000,0.06)</f>
        <v>6.8</v>
      </c>
      <c r="N132" s="5">
        <f t="shared" si="7"/>
        <v>164</v>
      </c>
      <c r="O132" s="8">
        <f t="shared" si="8"/>
        <v>0.4823529411764706</v>
      </c>
    </row>
    <row r="133" spans="1:15" x14ac:dyDescent="0.45">
      <c r="A133" t="s">
        <v>215</v>
      </c>
      <c r="B133" s="4">
        <v>45513</v>
      </c>
      <c r="C133" t="s">
        <v>83</v>
      </c>
      <c r="D133" t="s">
        <v>74</v>
      </c>
      <c r="E133" t="s">
        <v>48</v>
      </c>
      <c r="F133" t="str">
        <f>_xlfn.XLOOKUP(C133,Salespeople!$A$2:$A$11,Salespeople!$C$2:$C$11)</f>
        <v>EMEA</v>
      </c>
      <c r="G133" t="str">
        <f>_xlfn.XLOOKUP(C133,Salespeople!$A$2:$A$11,Salespeople!$D$2:$D$11)</f>
        <v>United Arab Emirates</v>
      </c>
      <c r="H133">
        <v>23</v>
      </c>
      <c r="I133" s="5">
        <f>_xlfn.XLOOKUP($D133,Products!$A$2:$A$16,Products!$D$2:$D$16)</f>
        <v>210</v>
      </c>
      <c r="J133" s="5">
        <f>_xlfn.XLOOKUP(Sales!$D133,Products!$A$2:$A$16,Products!$E$2:$E$16)</f>
        <v>120</v>
      </c>
      <c r="K133" s="8" cm="1">
        <f t="array" ref="K133">_xlfn.IFS(H133&lt;=5,0%,H133&lt;=10,5%,H133&lt;=15,10%,H133&lt;=20,15%,H133&gt;20,20%)</f>
        <v>0.2</v>
      </c>
      <c r="L133" s="5">
        <f t="shared" si="6"/>
        <v>3864</v>
      </c>
      <c r="M133" s="5" cm="1">
        <f t="array" ref="M133">L133*_xlfn.IFS(L133&lt;=5000,0.02,L133&lt;=15000,0.04,L133&gt;15000,0.06)</f>
        <v>77.28</v>
      </c>
      <c r="N133" s="5">
        <f t="shared" si="7"/>
        <v>1104</v>
      </c>
      <c r="O133" s="8">
        <f t="shared" si="8"/>
        <v>0.2857142857142857</v>
      </c>
    </row>
    <row r="134" spans="1:15" x14ac:dyDescent="0.45">
      <c r="A134" t="s">
        <v>216</v>
      </c>
      <c r="B134" s="4">
        <v>45514</v>
      </c>
      <c r="C134" t="s">
        <v>26</v>
      </c>
      <c r="D134" t="s">
        <v>28</v>
      </c>
      <c r="E134" t="s">
        <v>14</v>
      </c>
      <c r="F134" t="str">
        <f>_xlfn.XLOOKUP(C134,Salespeople!$A$2:$A$11,Salespeople!$C$2:$C$11)</f>
        <v>APAC</v>
      </c>
      <c r="G134" t="str">
        <f>_xlfn.XLOOKUP(C134,Salespeople!$A$2:$A$11,Salespeople!$D$2:$D$11)</f>
        <v>Singapore</v>
      </c>
      <c r="H134">
        <v>21</v>
      </c>
      <c r="I134" s="5">
        <f>_xlfn.XLOOKUP($D134,Products!$A$2:$A$16,Products!$D$2:$D$16)</f>
        <v>95</v>
      </c>
      <c r="J134" s="5">
        <f>_xlfn.XLOOKUP(Sales!$D134,Products!$A$2:$A$16,Products!$E$2:$E$16)</f>
        <v>44</v>
      </c>
      <c r="K134" s="8" cm="1">
        <f t="array" ref="K134">_xlfn.IFS(H134&lt;=5,0%,H134&lt;=10,5%,H134&lt;=15,10%,H134&lt;=20,15%,H134&gt;20,20%)</f>
        <v>0.2</v>
      </c>
      <c r="L134" s="5">
        <f t="shared" si="6"/>
        <v>1596</v>
      </c>
      <c r="M134" s="5" cm="1">
        <f t="array" ref="M134">L134*_xlfn.IFS(L134&lt;=5000,0.02,L134&lt;=15000,0.04,L134&gt;15000,0.06)</f>
        <v>31.92</v>
      </c>
      <c r="N134" s="5">
        <f t="shared" si="7"/>
        <v>672</v>
      </c>
      <c r="O134" s="8">
        <f t="shared" si="8"/>
        <v>0.42105263157894735</v>
      </c>
    </row>
    <row r="135" spans="1:15" x14ac:dyDescent="0.45">
      <c r="A135" t="s">
        <v>217</v>
      </c>
      <c r="B135" s="4">
        <v>45607</v>
      </c>
      <c r="C135" t="s">
        <v>38</v>
      </c>
      <c r="D135" t="s">
        <v>53</v>
      </c>
      <c r="E135" t="s">
        <v>48</v>
      </c>
      <c r="F135" t="str">
        <f>_xlfn.XLOOKUP(C135,Salespeople!$A$2:$A$11,Salespeople!$C$2:$C$11)</f>
        <v>Americas</v>
      </c>
      <c r="G135" t="str">
        <f>_xlfn.XLOOKUP(C135,Salespeople!$A$2:$A$11,Salespeople!$D$2:$D$11)</f>
        <v>Brazil</v>
      </c>
      <c r="H135">
        <v>15</v>
      </c>
      <c r="I135" s="5">
        <f>_xlfn.XLOOKUP($D135,Products!$A$2:$A$16,Products!$D$2:$D$16)</f>
        <v>130</v>
      </c>
      <c r="J135" s="5">
        <f>_xlfn.XLOOKUP(Sales!$D135,Products!$A$2:$A$16,Products!$E$2:$E$16)</f>
        <v>62</v>
      </c>
      <c r="K135" s="8" cm="1">
        <f t="array" ref="K135">_xlfn.IFS(H135&lt;=5,0%,H135&lt;=10,5%,H135&lt;=15,10%,H135&lt;=20,15%,H135&gt;20,20%)</f>
        <v>0.1</v>
      </c>
      <c r="L135" s="5">
        <f t="shared" si="6"/>
        <v>1755</v>
      </c>
      <c r="M135" s="5" cm="1">
        <f t="array" ref="M135">L135*_xlfn.IFS(L135&lt;=5000,0.02,L135&lt;=15000,0.04,L135&gt;15000,0.06)</f>
        <v>35.1</v>
      </c>
      <c r="N135" s="5">
        <f t="shared" si="7"/>
        <v>825</v>
      </c>
      <c r="O135" s="8">
        <f t="shared" si="8"/>
        <v>0.47008547008547008</v>
      </c>
    </row>
    <row r="136" spans="1:15" x14ac:dyDescent="0.45">
      <c r="A136" t="s">
        <v>218</v>
      </c>
      <c r="B136" s="4">
        <v>45595</v>
      </c>
      <c r="C136" t="s">
        <v>66</v>
      </c>
      <c r="D136" t="s">
        <v>56</v>
      </c>
      <c r="E136" t="s">
        <v>23</v>
      </c>
      <c r="F136" t="str">
        <f>_xlfn.XLOOKUP(C136,Salespeople!$A$2:$A$11,Salespeople!$C$2:$C$11)</f>
        <v>Americas</v>
      </c>
      <c r="G136" t="str">
        <f>_xlfn.XLOOKUP(C136,Salespeople!$A$2:$A$11,Salespeople!$D$2:$D$11)</f>
        <v>United States</v>
      </c>
      <c r="H136">
        <v>3</v>
      </c>
      <c r="I136" s="5">
        <f>_xlfn.XLOOKUP($D136,Products!$A$2:$A$16,Products!$D$2:$D$16)</f>
        <v>520</v>
      </c>
      <c r="J136" s="5">
        <f>_xlfn.XLOOKUP(Sales!$D136,Products!$A$2:$A$16,Products!$E$2:$E$16)</f>
        <v>360</v>
      </c>
      <c r="K136" s="8" cm="1">
        <f t="array" ref="K136">_xlfn.IFS(H136&lt;=5,0%,H136&lt;=10,5%,H136&lt;=15,10%,H136&lt;=20,15%,H136&gt;20,20%)</f>
        <v>0</v>
      </c>
      <c r="L136" s="5">
        <f t="shared" si="6"/>
        <v>1560</v>
      </c>
      <c r="M136" s="5" cm="1">
        <f t="array" ref="M136">L136*_xlfn.IFS(L136&lt;=5000,0.02,L136&lt;=15000,0.04,L136&gt;15000,0.06)</f>
        <v>31.2</v>
      </c>
      <c r="N136" s="5">
        <f t="shared" si="7"/>
        <v>480</v>
      </c>
      <c r="O136" s="8">
        <f t="shared" si="8"/>
        <v>0.30769230769230771</v>
      </c>
    </row>
    <row r="137" spans="1:15" x14ac:dyDescent="0.45">
      <c r="A137" t="s">
        <v>219</v>
      </c>
      <c r="B137" s="4">
        <v>45522</v>
      </c>
      <c r="C137" t="s">
        <v>51</v>
      </c>
      <c r="D137" t="s">
        <v>53</v>
      </c>
      <c r="E137" t="s">
        <v>48</v>
      </c>
      <c r="F137" t="str">
        <f>_xlfn.XLOOKUP(C137,Salespeople!$A$2:$A$11,Salespeople!$C$2:$C$11)</f>
        <v>Americas</v>
      </c>
      <c r="G137" t="str">
        <f>_xlfn.XLOOKUP(C137,Salespeople!$A$2:$A$11,Salespeople!$D$2:$D$11)</f>
        <v>Mexico</v>
      </c>
      <c r="H137">
        <v>19</v>
      </c>
      <c r="I137" s="5">
        <f>_xlfn.XLOOKUP($D137,Products!$A$2:$A$16,Products!$D$2:$D$16)</f>
        <v>130</v>
      </c>
      <c r="J137" s="5">
        <f>_xlfn.XLOOKUP(Sales!$D137,Products!$A$2:$A$16,Products!$E$2:$E$16)</f>
        <v>62</v>
      </c>
      <c r="K137" s="8" cm="1">
        <f t="array" ref="K137">_xlfn.IFS(H137&lt;=5,0%,H137&lt;=10,5%,H137&lt;=15,10%,H137&lt;=20,15%,H137&gt;20,20%)</f>
        <v>0.15</v>
      </c>
      <c r="L137" s="5">
        <f t="shared" si="6"/>
        <v>2099.5</v>
      </c>
      <c r="M137" s="5" cm="1">
        <f t="array" ref="M137">L137*_xlfn.IFS(L137&lt;=5000,0.02,L137&lt;=15000,0.04,L137&gt;15000,0.06)</f>
        <v>41.99</v>
      </c>
      <c r="N137" s="5">
        <f t="shared" si="7"/>
        <v>921.5</v>
      </c>
      <c r="O137" s="8">
        <f t="shared" si="8"/>
        <v>0.43891402714932126</v>
      </c>
    </row>
    <row r="138" spans="1:15" x14ac:dyDescent="0.45">
      <c r="A138" t="s">
        <v>220</v>
      </c>
      <c r="B138" s="4">
        <v>45464</v>
      </c>
      <c r="C138" t="s">
        <v>131</v>
      </c>
      <c r="D138" t="s">
        <v>103</v>
      </c>
      <c r="E138" t="s">
        <v>48</v>
      </c>
      <c r="F138" t="str">
        <f>_xlfn.XLOOKUP(C138,Salespeople!$A$2:$A$11,Salespeople!$C$2:$C$11)</f>
        <v>EMEA</v>
      </c>
      <c r="G138" t="str">
        <f>_xlfn.XLOOKUP(C138,Salespeople!$A$2:$A$11,Salespeople!$D$2:$D$11)</f>
        <v>United Kingdom</v>
      </c>
      <c r="H138">
        <v>6</v>
      </c>
      <c r="I138" s="5">
        <f>_xlfn.XLOOKUP($D138,Products!$A$2:$A$16,Products!$D$2:$D$16)</f>
        <v>1150</v>
      </c>
      <c r="J138" s="5">
        <f>_xlfn.XLOOKUP(Sales!$D138,Products!$A$2:$A$16,Products!$E$2:$E$16)</f>
        <v>820</v>
      </c>
      <c r="K138" s="8" cm="1">
        <f t="array" ref="K138">_xlfn.IFS(H138&lt;=5,0%,H138&lt;=10,5%,H138&lt;=15,10%,H138&lt;=20,15%,H138&gt;20,20%)</f>
        <v>0.05</v>
      </c>
      <c r="L138" s="5">
        <f t="shared" si="6"/>
        <v>6555</v>
      </c>
      <c r="M138" s="5" cm="1">
        <f t="array" ref="M138">L138*_xlfn.IFS(L138&lt;=5000,0.02,L138&lt;=15000,0.04,L138&gt;15000,0.06)</f>
        <v>262.2</v>
      </c>
      <c r="N138" s="5">
        <f t="shared" si="7"/>
        <v>1635</v>
      </c>
      <c r="O138" s="8">
        <f t="shared" si="8"/>
        <v>0.2494279176201373</v>
      </c>
    </row>
    <row r="139" spans="1:15" x14ac:dyDescent="0.45">
      <c r="A139" t="s">
        <v>221</v>
      </c>
      <c r="B139" s="4">
        <v>45400</v>
      </c>
      <c r="C139" t="s">
        <v>83</v>
      </c>
      <c r="D139" t="s">
        <v>53</v>
      </c>
      <c r="E139" t="s">
        <v>48</v>
      </c>
      <c r="F139" t="str">
        <f>_xlfn.XLOOKUP(C139,Salespeople!$A$2:$A$11,Salespeople!$C$2:$C$11)</f>
        <v>EMEA</v>
      </c>
      <c r="G139" t="str">
        <f>_xlfn.XLOOKUP(C139,Salespeople!$A$2:$A$11,Salespeople!$D$2:$D$11)</f>
        <v>United Arab Emirates</v>
      </c>
      <c r="H139">
        <v>11</v>
      </c>
      <c r="I139" s="5">
        <f>_xlfn.XLOOKUP($D139,Products!$A$2:$A$16,Products!$D$2:$D$16)</f>
        <v>130</v>
      </c>
      <c r="J139" s="5">
        <f>_xlfn.XLOOKUP(Sales!$D139,Products!$A$2:$A$16,Products!$E$2:$E$16)</f>
        <v>62</v>
      </c>
      <c r="K139" s="8" cm="1">
        <f t="array" ref="K139">_xlfn.IFS(H139&lt;=5,0%,H139&lt;=10,5%,H139&lt;=15,10%,H139&lt;=20,15%,H139&gt;20,20%)</f>
        <v>0.1</v>
      </c>
      <c r="L139" s="5">
        <f t="shared" si="6"/>
        <v>1287</v>
      </c>
      <c r="M139" s="5" cm="1">
        <f t="array" ref="M139">L139*_xlfn.IFS(L139&lt;=5000,0.02,L139&lt;=15000,0.04,L139&gt;15000,0.06)</f>
        <v>25.740000000000002</v>
      </c>
      <c r="N139" s="5">
        <f t="shared" si="7"/>
        <v>605</v>
      </c>
      <c r="O139" s="8">
        <f t="shared" si="8"/>
        <v>0.47008547008547008</v>
      </c>
    </row>
    <row r="140" spans="1:15" x14ac:dyDescent="0.45">
      <c r="A140" t="s">
        <v>222</v>
      </c>
      <c r="B140" s="4">
        <v>45597</v>
      </c>
      <c r="C140" t="s">
        <v>66</v>
      </c>
      <c r="D140" t="s">
        <v>62</v>
      </c>
      <c r="E140" t="s">
        <v>23</v>
      </c>
      <c r="F140" t="str">
        <f>_xlfn.XLOOKUP(C140,Salespeople!$A$2:$A$11,Salespeople!$C$2:$C$11)</f>
        <v>Americas</v>
      </c>
      <c r="G140" t="str">
        <f>_xlfn.XLOOKUP(C140,Salespeople!$A$2:$A$11,Salespeople!$D$2:$D$11)</f>
        <v>United States</v>
      </c>
      <c r="H140">
        <v>17</v>
      </c>
      <c r="I140" s="5">
        <f>_xlfn.XLOOKUP($D140,Products!$A$2:$A$16,Products!$D$2:$D$16)</f>
        <v>1750</v>
      </c>
      <c r="J140" s="5">
        <f>_xlfn.XLOOKUP(Sales!$D140,Products!$A$2:$A$16,Products!$E$2:$E$16)</f>
        <v>1300</v>
      </c>
      <c r="K140" s="8" cm="1">
        <f t="array" ref="K140">_xlfn.IFS(H140&lt;=5,0%,H140&lt;=10,5%,H140&lt;=15,10%,H140&lt;=20,15%,H140&gt;20,20%)</f>
        <v>0.15</v>
      </c>
      <c r="L140" s="5">
        <f t="shared" si="6"/>
        <v>25287.5</v>
      </c>
      <c r="M140" s="5" cm="1">
        <f t="array" ref="M140">L140*_xlfn.IFS(L140&lt;=5000,0.02,L140&lt;=15000,0.04,L140&gt;15000,0.06)</f>
        <v>1517.25</v>
      </c>
      <c r="N140" s="5">
        <f t="shared" si="7"/>
        <v>3187.5</v>
      </c>
      <c r="O140" s="8">
        <f t="shared" si="8"/>
        <v>0.12605042016806722</v>
      </c>
    </row>
    <row r="141" spans="1:15" x14ac:dyDescent="0.45">
      <c r="A141" t="s">
        <v>223</v>
      </c>
      <c r="B141" s="4">
        <v>45335</v>
      </c>
      <c r="C141" t="s">
        <v>51</v>
      </c>
      <c r="D141" t="s">
        <v>28</v>
      </c>
      <c r="E141" t="s">
        <v>48</v>
      </c>
      <c r="F141" t="str">
        <f>_xlfn.XLOOKUP(C141,Salespeople!$A$2:$A$11,Salespeople!$C$2:$C$11)</f>
        <v>Americas</v>
      </c>
      <c r="G141" t="str">
        <f>_xlfn.XLOOKUP(C141,Salespeople!$A$2:$A$11,Salespeople!$D$2:$D$11)</f>
        <v>Mexico</v>
      </c>
      <c r="H141">
        <v>16</v>
      </c>
      <c r="I141" s="5">
        <f>_xlfn.XLOOKUP($D141,Products!$A$2:$A$16,Products!$D$2:$D$16)</f>
        <v>95</v>
      </c>
      <c r="J141" s="5">
        <f>_xlfn.XLOOKUP(Sales!$D141,Products!$A$2:$A$16,Products!$E$2:$E$16)</f>
        <v>44</v>
      </c>
      <c r="K141" s="8" cm="1">
        <f t="array" ref="K141">_xlfn.IFS(H141&lt;=5,0%,H141&lt;=10,5%,H141&lt;=15,10%,H141&lt;=20,15%,H141&gt;20,20%)</f>
        <v>0.15</v>
      </c>
      <c r="L141" s="5">
        <f t="shared" si="6"/>
        <v>1292</v>
      </c>
      <c r="M141" s="5" cm="1">
        <f t="array" ref="M141">L141*_xlfn.IFS(L141&lt;=5000,0.02,L141&lt;=15000,0.04,L141&gt;15000,0.06)</f>
        <v>25.84</v>
      </c>
      <c r="N141" s="5">
        <f t="shared" si="7"/>
        <v>588</v>
      </c>
      <c r="O141" s="8">
        <f t="shared" si="8"/>
        <v>0.45510835913312692</v>
      </c>
    </row>
    <row r="142" spans="1:15" x14ac:dyDescent="0.45">
      <c r="A142" t="s">
        <v>224</v>
      </c>
      <c r="B142" s="4">
        <v>45645</v>
      </c>
      <c r="C142" t="s">
        <v>60</v>
      </c>
      <c r="D142" t="s">
        <v>74</v>
      </c>
      <c r="E142" t="s">
        <v>14</v>
      </c>
      <c r="F142" t="str">
        <f>_xlfn.XLOOKUP(C142,Salespeople!$A$2:$A$11,Salespeople!$C$2:$C$11)</f>
        <v>APAC</v>
      </c>
      <c r="G142" t="str">
        <f>_xlfn.XLOOKUP(C142,Salespeople!$A$2:$A$11,Salespeople!$D$2:$D$11)</f>
        <v>Japan</v>
      </c>
      <c r="H142">
        <v>16</v>
      </c>
      <c r="I142" s="5">
        <f>_xlfn.XLOOKUP($D142,Products!$A$2:$A$16,Products!$D$2:$D$16)</f>
        <v>210</v>
      </c>
      <c r="J142" s="5">
        <f>_xlfn.XLOOKUP(Sales!$D142,Products!$A$2:$A$16,Products!$E$2:$E$16)</f>
        <v>120</v>
      </c>
      <c r="K142" s="8" cm="1">
        <f t="array" ref="K142">_xlfn.IFS(H142&lt;=5,0%,H142&lt;=10,5%,H142&lt;=15,10%,H142&lt;=20,15%,H142&gt;20,20%)</f>
        <v>0.15</v>
      </c>
      <c r="L142" s="5">
        <f t="shared" si="6"/>
        <v>2856</v>
      </c>
      <c r="M142" s="5" cm="1">
        <f t="array" ref="M142">L142*_xlfn.IFS(L142&lt;=5000,0.02,L142&lt;=15000,0.04,L142&gt;15000,0.06)</f>
        <v>57.120000000000005</v>
      </c>
      <c r="N142" s="5">
        <f t="shared" si="7"/>
        <v>936</v>
      </c>
      <c r="O142" s="8">
        <f t="shared" si="8"/>
        <v>0.32773109243697479</v>
      </c>
    </row>
    <row r="143" spans="1:15" x14ac:dyDescent="0.45">
      <c r="A143" t="s">
        <v>225</v>
      </c>
      <c r="B143" s="4">
        <v>45300</v>
      </c>
      <c r="C143" t="s">
        <v>17</v>
      </c>
      <c r="D143" t="s">
        <v>79</v>
      </c>
      <c r="E143" t="s">
        <v>23</v>
      </c>
      <c r="F143" t="str">
        <f>_xlfn.XLOOKUP(C143,Salespeople!$A$2:$A$11,Salespeople!$C$2:$C$11)</f>
        <v>EMEA</v>
      </c>
      <c r="G143" t="str">
        <f>_xlfn.XLOOKUP(C143,Salespeople!$A$2:$A$11,Salespeople!$D$2:$D$11)</f>
        <v>Portugal</v>
      </c>
      <c r="H143">
        <v>13</v>
      </c>
      <c r="I143" s="5">
        <f>_xlfn.XLOOKUP($D143,Products!$A$2:$A$16,Products!$D$2:$D$16)</f>
        <v>240</v>
      </c>
      <c r="J143" s="5">
        <f>_xlfn.XLOOKUP(Sales!$D143,Products!$A$2:$A$16,Products!$E$2:$E$16)</f>
        <v>150</v>
      </c>
      <c r="K143" s="8" cm="1">
        <f t="array" ref="K143">_xlfn.IFS(H143&lt;=5,0%,H143&lt;=10,5%,H143&lt;=15,10%,H143&lt;=20,15%,H143&gt;20,20%)</f>
        <v>0.1</v>
      </c>
      <c r="L143" s="5">
        <f t="shared" si="6"/>
        <v>2808</v>
      </c>
      <c r="M143" s="5" cm="1">
        <f t="array" ref="M143">L143*_xlfn.IFS(L143&lt;=5000,0.02,L143&lt;=15000,0.04,L143&gt;15000,0.06)</f>
        <v>56.160000000000004</v>
      </c>
      <c r="N143" s="5">
        <f t="shared" si="7"/>
        <v>858</v>
      </c>
      <c r="O143" s="8">
        <f t="shared" si="8"/>
        <v>0.30555555555555558</v>
      </c>
    </row>
    <row r="144" spans="1:15" x14ac:dyDescent="0.45">
      <c r="A144" t="s">
        <v>226</v>
      </c>
      <c r="B144" s="4">
        <v>45448</v>
      </c>
      <c r="C144" t="s">
        <v>139</v>
      </c>
      <c r="D144" t="s">
        <v>56</v>
      </c>
      <c r="E144" t="s">
        <v>48</v>
      </c>
      <c r="F144" t="str">
        <f>_xlfn.XLOOKUP(C144,Salespeople!$A$2:$A$11,Salespeople!$C$2:$C$11)</f>
        <v>Americas</v>
      </c>
      <c r="G144" t="str">
        <f>_xlfn.XLOOKUP(C144,Salespeople!$A$2:$A$11,Salespeople!$D$2:$D$11)</f>
        <v>Canada</v>
      </c>
      <c r="H144">
        <v>18</v>
      </c>
      <c r="I144" s="5">
        <f>_xlfn.XLOOKUP($D144,Products!$A$2:$A$16,Products!$D$2:$D$16)</f>
        <v>520</v>
      </c>
      <c r="J144" s="5">
        <f>_xlfn.XLOOKUP(Sales!$D144,Products!$A$2:$A$16,Products!$E$2:$E$16)</f>
        <v>360</v>
      </c>
      <c r="K144" s="8" cm="1">
        <f t="array" ref="K144">_xlfn.IFS(H144&lt;=5,0%,H144&lt;=10,5%,H144&lt;=15,10%,H144&lt;=20,15%,H144&gt;20,20%)</f>
        <v>0.15</v>
      </c>
      <c r="L144" s="5">
        <f t="shared" si="6"/>
        <v>7956</v>
      </c>
      <c r="M144" s="5" cm="1">
        <f t="array" ref="M144">L144*_xlfn.IFS(L144&lt;=5000,0.02,L144&lt;=15000,0.04,L144&gt;15000,0.06)</f>
        <v>318.24</v>
      </c>
      <c r="N144" s="5">
        <f t="shared" si="7"/>
        <v>1476</v>
      </c>
      <c r="O144" s="8">
        <f t="shared" si="8"/>
        <v>0.18552036199095023</v>
      </c>
    </row>
    <row r="145" spans="1:15" x14ac:dyDescent="0.45">
      <c r="A145" t="s">
        <v>227</v>
      </c>
      <c r="B145" s="4">
        <v>45509</v>
      </c>
      <c r="C145" t="s">
        <v>38</v>
      </c>
      <c r="D145" t="s">
        <v>56</v>
      </c>
      <c r="E145" t="s">
        <v>48</v>
      </c>
      <c r="F145" t="str">
        <f>_xlfn.XLOOKUP(C145,Salespeople!$A$2:$A$11,Salespeople!$C$2:$C$11)</f>
        <v>Americas</v>
      </c>
      <c r="G145" t="str">
        <f>_xlfn.XLOOKUP(C145,Salespeople!$A$2:$A$11,Salespeople!$D$2:$D$11)</f>
        <v>Brazil</v>
      </c>
      <c r="H145">
        <v>23</v>
      </c>
      <c r="I145" s="5">
        <f>_xlfn.XLOOKUP($D145,Products!$A$2:$A$16,Products!$D$2:$D$16)</f>
        <v>520</v>
      </c>
      <c r="J145" s="5">
        <f>_xlfn.XLOOKUP(Sales!$D145,Products!$A$2:$A$16,Products!$E$2:$E$16)</f>
        <v>360</v>
      </c>
      <c r="K145" s="8" cm="1">
        <f t="array" ref="K145">_xlfn.IFS(H145&lt;=5,0%,H145&lt;=10,5%,H145&lt;=15,10%,H145&lt;=20,15%,H145&gt;20,20%)</f>
        <v>0.2</v>
      </c>
      <c r="L145" s="5">
        <f t="shared" si="6"/>
        <v>9568</v>
      </c>
      <c r="M145" s="5" cm="1">
        <f t="array" ref="M145">L145*_xlfn.IFS(L145&lt;=5000,0.02,L145&lt;=15000,0.04,L145&gt;15000,0.06)</f>
        <v>382.72</v>
      </c>
      <c r="N145" s="5">
        <f t="shared" si="7"/>
        <v>1288</v>
      </c>
      <c r="O145" s="8">
        <f t="shared" si="8"/>
        <v>0.13461538461538461</v>
      </c>
    </row>
    <row r="146" spans="1:15" x14ac:dyDescent="0.45">
      <c r="A146" t="s">
        <v>228</v>
      </c>
      <c r="B146" s="4">
        <v>45430</v>
      </c>
      <c r="C146" t="s">
        <v>66</v>
      </c>
      <c r="D146" t="s">
        <v>79</v>
      </c>
      <c r="E146" t="s">
        <v>23</v>
      </c>
      <c r="F146" t="str">
        <f>_xlfn.XLOOKUP(C146,Salespeople!$A$2:$A$11,Salespeople!$C$2:$C$11)</f>
        <v>Americas</v>
      </c>
      <c r="G146" t="str">
        <f>_xlfn.XLOOKUP(C146,Salespeople!$A$2:$A$11,Salespeople!$D$2:$D$11)</f>
        <v>United States</v>
      </c>
      <c r="H146">
        <v>4</v>
      </c>
      <c r="I146" s="5">
        <f>_xlfn.XLOOKUP($D146,Products!$A$2:$A$16,Products!$D$2:$D$16)</f>
        <v>240</v>
      </c>
      <c r="J146" s="5">
        <f>_xlfn.XLOOKUP(Sales!$D146,Products!$A$2:$A$16,Products!$E$2:$E$16)</f>
        <v>150</v>
      </c>
      <c r="K146" s="8" cm="1">
        <f t="array" ref="K146">_xlfn.IFS(H146&lt;=5,0%,H146&lt;=10,5%,H146&lt;=15,10%,H146&lt;=20,15%,H146&gt;20,20%)</f>
        <v>0</v>
      </c>
      <c r="L146" s="5">
        <f t="shared" si="6"/>
        <v>960</v>
      </c>
      <c r="M146" s="5" cm="1">
        <f t="array" ref="M146">L146*_xlfn.IFS(L146&lt;=5000,0.02,L146&lt;=15000,0.04,L146&gt;15000,0.06)</f>
        <v>19.2</v>
      </c>
      <c r="N146" s="5">
        <f t="shared" si="7"/>
        <v>360</v>
      </c>
      <c r="O146" s="8">
        <f t="shared" si="8"/>
        <v>0.375</v>
      </c>
    </row>
    <row r="147" spans="1:15" x14ac:dyDescent="0.45">
      <c r="A147" t="s">
        <v>229</v>
      </c>
      <c r="B147" s="4">
        <v>45453</v>
      </c>
      <c r="C147" t="s">
        <v>17</v>
      </c>
      <c r="D147" t="s">
        <v>28</v>
      </c>
      <c r="E147" t="s">
        <v>14</v>
      </c>
      <c r="F147" t="str">
        <f>_xlfn.XLOOKUP(C147,Salespeople!$A$2:$A$11,Salespeople!$C$2:$C$11)</f>
        <v>EMEA</v>
      </c>
      <c r="G147" t="str">
        <f>_xlfn.XLOOKUP(C147,Salespeople!$A$2:$A$11,Salespeople!$D$2:$D$11)</f>
        <v>Portugal</v>
      </c>
      <c r="H147">
        <v>25</v>
      </c>
      <c r="I147" s="5">
        <f>_xlfn.XLOOKUP($D147,Products!$A$2:$A$16,Products!$D$2:$D$16)</f>
        <v>95</v>
      </c>
      <c r="J147" s="5">
        <f>_xlfn.XLOOKUP(Sales!$D147,Products!$A$2:$A$16,Products!$E$2:$E$16)</f>
        <v>44</v>
      </c>
      <c r="K147" s="8" cm="1">
        <f t="array" ref="K147">_xlfn.IFS(H147&lt;=5,0%,H147&lt;=10,5%,H147&lt;=15,10%,H147&lt;=20,15%,H147&gt;20,20%)</f>
        <v>0.2</v>
      </c>
      <c r="L147" s="5">
        <f t="shared" si="6"/>
        <v>1900</v>
      </c>
      <c r="M147" s="5" cm="1">
        <f t="array" ref="M147">L147*_xlfn.IFS(L147&lt;=5000,0.02,L147&lt;=15000,0.04,L147&gt;15000,0.06)</f>
        <v>38</v>
      </c>
      <c r="N147" s="5">
        <f t="shared" si="7"/>
        <v>800</v>
      </c>
      <c r="O147" s="8">
        <f t="shared" si="8"/>
        <v>0.42105263157894735</v>
      </c>
    </row>
    <row r="148" spans="1:15" x14ac:dyDescent="0.45">
      <c r="A148" t="s">
        <v>230</v>
      </c>
      <c r="B148" s="4">
        <v>45390</v>
      </c>
      <c r="C148" t="s">
        <v>51</v>
      </c>
      <c r="D148" t="s">
        <v>28</v>
      </c>
      <c r="E148" t="s">
        <v>48</v>
      </c>
      <c r="F148" t="str">
        <f>_xlfn.XLOOKUP(C148,Salespeople!$A$2:$A$11,Salespeople!$C$2:$C$11)</f>
        <v>Americas</v>
      </c>
      <c r="G148" t="str">
        <f>_xlfn.XLOOKUP(C148,Salespeople!$A$2:$A$11,Salespeople!$D$2:$D$11)</f>
        <v>Mexico</v>
      </c>
      <c r="H148">
        <v>9</v>
      </c>
      <c r="I148" s="5">
        <f>_xlfn.XLOOKUP($D148,Products!$A$2:$A$16,Products!$D$2:$D$16)</f>
        <v>95</v>
      </c>
      <c r="J148" s="5">
        <f>_xlfn.XLOOKUP(Sales!$D148,Products!$A$2:$A$16,Products!$E$2:$E$16)</f>
        <v>44</v>
      </c>
      <c r="K148" s="8" cm="1">
        <f t="array" ref="K148">_xlfn.IFS(H148&lt;=5,0%,H148&lt;=10,5%,H148&lt;=15,10%,H148&lt;=20,15%,H148&gt;20,20%)</f>
        <v>0.05</v>
      </c>
      <c r="L148" s="5">
        <f t="shared" si="6"/>
        <v>812.25</v>
      </c>
      <c r="M148" s="5" cm="1">
        <f t="array" ref="M148">L148*_xlfn.IFS(L148&lt;=5000,0.02,L148&lt;=15000,0.04,L148&gt;15000,0.06)</f>
        <v>16.245000000000001</v>
      </c>
      <c r="N148" s="5">
        <f t="shared" si="7"/>
        <v>416.25</v>
      </c>
      <c r="O148" s="8">
        <f t="shared" si="8"/>
        <v>0.51246537396121883</v>
      </c>
    </row>
    <row r="149" spans="1:15" x14ac:dyDescent="0.45">
      <c r="A149" t="s">
        <v>231</v>
      </c>
      <c r="B149" s="4">
        <v>45343</v>
      </c>
      <c r="C149" t="s">
        <v>51</v>
      </c>
      <c r="D149" t="s">
        <v>79</v>
      </c>
      <c r="E149" t="s">
        <v>23</v>
      </c>
      <c r="F149" t="str">
        <f>_xlfn.XLOOKUP(C149,Salespeople!$A$2:$A$11,Salespeople!$C$2:$C$11)</f>
        <v>Americas</v>
      </c>
      <c r="G149" t="str">
        <f>_xlfn.XLOOKUP(C149,Salespeople!$A$2:$A$11,Salespeople!$D$2:$D$11)</f>
        <v>Mexico</v>
      </c>
      <c r="H149">
        <v>12</v>
      </c>
      <c r="I149" s="5">
        <f>_xlfn.XLOOKUP($D149,Products!$A$2:$A$16,Products!$D$2:$D$16)</f>
        <v>240</v>
      </c>
      <c r="J149" s="5">
        <f>_xlfn.XLOOKUP(Sales!$D149,Products!$A$2:$A$16,Products!$E$2:$E$16)</f>
        <v>150</v>
      </c>
      <c r="K149" s="8" cm="1">
        <f t="array" ref="K149">_xlfn.IFS(H149&lt;=5,0%,H149&lt;=10,5%,H149&lt;=15,10%,H149&lt;=20,15%,H149&gt;20,20%)</f>
        <v>0.1</v>
      </c>
      <c r="L149" s="5">
        <f t="shared" si="6"/>
        <v>2592</v>
      </c>
      <c r="M149" s="5" cm="1">
        <f t="array" ref="M149">L149*_xlfn.IFS(L149&lt;=5000,0.02,L149&lt;=15000,0.04,L149&gt;15000,0.06)</f>
        <v>51.84</v>
      </c>
      <c r="N149" s="5">
        <f t="shared" si="7"/>
        <v>792</v>
      </c>
      <c r="O149" s="8">
        <f t="shared" si="8"/>
        <v>0.30555555555555558</v>
      </c>
    </row>
    <row r="150" spans="1:15" x14ac:dyDescent="0.45">
      <c r="A150" t="s">
        <v>232</v>
      </c>
      <c r="B150" s="4">
        <v>45446</v>
      </c>
      <c r="C150" t="s">
        <v>131</v>
      </c>
      <c r="D150" t="s">
        <v>28</v>
      </c>
      <c r="E150" t="s">
        <v>14</v>
      </c>
      <c r="F150" t="str">
        <f>_xlfn.XLOOKUP(C150,Salespeople!$A$2:$A$11,Salespeople!$C$2:$C$11)</f>
        <v>EMEA</v>
      </c>
      <c r="G150" t="str">
        <f>_xlfn.XLOOKUP(C150,Salespeople!$A$2:$A$11,Salespeople!$D$2:$D$11)</f>
        <v>United Kingdom</v>
      </c>
      <c r="H150">
        <v>5</v>
      </c>
      <c r="I150" s="5">
        <f>_xlfn.XLOOKUP($D150,Products!$A$2:$A$16,Products!$D$2:$D$16)</f>
        <v>95</v>
      </c>
      <c r="J150" s="5">
        <f>_xlfn.XLOOKUP(Sales!$D150,Products!$A$2:$A$16,Products!$E$2:$E$16)</f>
        <v>44</v>
      </c>
      <c r="K150" s="8" cm="1">
        <f t="array" ref="K150">_xlfn.IFS(H150&lt;=5,0%,H150&lt;=10,5%,H150&lt;=15,10%,H150&lt;=20,15%,H150&gt;20,20%)</f>
        <v>0</v>
      </c>
      <c r="L150" s="5">
        <f t="shared" si="6"/>
        <v>475</v>
      </c>
      <c r="M150" s="5" cm="1">
        <f t="array" ref="M150">L150*_xlfn.IFS(L150&lt;=5000,0.02,L150&lt;=15000,0.04,L150&gt;15000,0.06)</f>
        <v>9.5</v>
      </c>
      <c r="N150" s="5">
        <f t="shared" si="7"/>
        <v>255</v>
      </c>
      <c r="O150" s="8">
        <f t="shared" si="8"/>
        <v>0.5368421052631579</v>
      </c>
    </row>
    <row r="151" spans="1:15" x14ac:dyDescent="0.45">
      <c r="A151" t="s">
        <v>233</v>
      </c>
      <c r="B151" s="4">
        <v>45315</v>
      </c>
      <c r="C151" t="s">
        <v>131</v>
      </c>
      <c r="D151" t="s">
        <v>62</v>
      </c>
      <c r="E151" t="s">
        <v>48</v>
      </c>
      <c r="F151" t="str">
        <f>_xlfn.XLOOKUP(C151,Salespeople!$A$2:$A$11,Salespeople!$C$2:$C$11)</f>
        <v>EMEA</v>
      </c>
      <c r="G151" t="str">
        <f>_xlfn.XLOOKUP(C151,Salespeople!$A$2:$A$11,Salespeople!$D$2:$D$11)</f>
        <v>United Kingdom</v>
      </c>
      <c r="H151">
        <v>23</v>
      </c>
      <c r="I151" s="5">
        <f>_xlfn.XLOOKUP($D151,Products!$A$2:$A$16,Products!$D$2:$D$16)</f>
        <v>1750</v>
      </c>
      <c r="J151" s="5">
        <f>_xlfn.XLOOKUP(Sales!$D151,Products!$A$2:$A$16,Products!$E$2:$E$16)</f>
        <v>1300</v>
      </c>
      <c r="K151" s="8" cm="1">
        <f t="array" ref="K151">_xlfn.IFS(H151&lt;=5,0%,H151&lt;=10,5%,H151&lt;=15,10%,H151&lt;=20,15%,H151&gt;20,20%)</f>
        <v>0.2</v>
      </c>
      <c r="L151" s="5">
        <f t="shared" si="6"/>
        <v>32200</v>
      </c>
      <c r="M151" s="5" cm="1">
        <f t="array" ref="M151">L151*_xlfn.IFS(L151&lt;=5000,0.02,L151&lt;=15000,0.04,L151&gt;15000,0.06)</f>
        <v>1932</v>
      </c>
      <c r="N151" s="5">
        <f t="shared" si="7"/>
        <v>2300</v>
      </c>
      <c r="O151" s="8">
        <f t="shared" si="8"/>
        <v>7.1428571428571425E-2</v>
      </c>
    </row>
    <row r="152" spans="1:15" x14ac:dyDescent="0.45">
      <c r="A152" t="s">
        <v>234</v>
      </c>
      <c r="B152" s="4">
        <v>45618</v>
      </c>
      <c r="C152" t="s">
        <v>60</v>
      </c>
      <c r="D152" t="s">
        <v>134</v>
      </c>
      <c r="E152" t="s">
        <v>23</v>
      </c>
      <c r="F152" t="str">
        <f>_xlfn.XLOOKUP(C152,Salespeople!$A$2:$A$11,Salespeople!$C$2:$C$11)</f>
        <v>APAC</v>
      </c>
      <c r="G152" t="str">
        <f>_xlfn.XLOOKUP(C152,Salespeople!$A$2:$A$11,Salespeople!$D$2:$D$11)</f>
        <v>Japan</v>
      </c>
      <c r="H152">
        <v>19</v>
      </c>
      <c r="I152" s="5">
        <f>_xlfn.XLOOKUP($D152,Products!$A$2:$A$16,Products!$D$2:$D$16)</f>
        <v>79</v>
      </c>
      <c r="J152" s="5">
        <f>_xlfn.XLOOKUP(Sales!$D152,Products!$A$2:$A$16,Products!$E$2:$E$16)</f>
        <v>38</v>
      </c>
      <c r="K152" s="8" cm="1">
        <f t="array" ref="K152">_xlfn.IFS(H152&lt;=5,0%,H152&lt;=10,5%,H152&lt;=15,10%,H152&lt;=20,15%,H152&gt;20,20%)</f>
        <v>0.15</v>
      </c>
      <c r="L152" s="5">
        <f t="shared" si="6"/>
        <v>1275.8499999999999</v>
      </c>
      <c r="M152" s="5" cm="1">
        <f t="array" ref="M152">L152*_xlfn.IFS(L152&lt;=5000,0.02,L152&lt;=15000,0.04,L152&gt;15000,0.06)</f>
        <v>25.516999999999999</v>
      </c>
      <c r="N152" s="5">
        <f t="shared" si="7"/>
        <v>553.84999999999991</v>
      </c>
      <c r="O152" s="8">
        <f t="shared" si="8"/>
        <v>0.43410275502606099</v>
      </c>
    </row>
    <row r="153" spans="1:15" x14ac:dyDescent="0.45">
      <c r="A153" t="s">
        <v>235</v>
      </c>
      <c r="B153" s="4">
        <v>45532</v>
      </c>
      <c r="C153" t="s">
        <v>60</v>
      </c>
      <c r="D153" t="s">
        <v>103</v>
      </c>
      <c r="E153" t="s">
        <v>48</v>
      </c>
      <c r="F153" t="str">
        <f>_xlfn.XLOOKUP(C153,Salespeople!$A$2:$A$11,Salespeople!$C$2:$C$11)</f>
        <v>APAC</v>
      </c>
      <c r="G153" t="str">
        <f>_xlfn.XLOOKUP(C153,Salespeople!$A$2:$A$11,Salespeople!$D$2:$D$11)</f>
        <v>Japan</v>
      </c>
      <c r="H153">
        <v>6</v>
      </c>
      <c r="I153" s="5">
        <f>_xlfn.XLOOKUP($D153,Products!$A$2:$A$16,Products!$D$2:$D$16)</f>
        <v>1150</v>
      </c>
      <c r="J153" s="5">
        <f>_xlfn.XLOOKUP(Sales!$D153,Products!$A$2:$A$16,Products!$E$2:$E$16)</f>
        <v>820</v>
      </c>
      <c r="K153" s="8" cm="1">
        <f t="array" ref="K153">_xlfn.IFS(H153&lt;=5,0%,H153&lt;=10,5%,H153&lt;=15,10%,H153&lt;=20,15%,H153&gt;20,20%)</f>
        <v>0.05</v>
      </c>
      <c r="L153" s="5">
        <f t="shared" si="6"/>
        <v>6555</v>
      </c>
      <c r="M153" s="5" cm="1">
        <f t="array" ref="M153">L153*_xlfn.IFS(L153&lt;=5000,0.02,L153&lt;=15000,0.04,L153&gt;15000,0.06)</f>
        <v>262.2</v>
      </c>
      <c r="N153" s="5">
        <f t="shared" si="7"/>
        <v>1635</v>
      </c>
      <c r="O153" s="8">
        <f t="shared" si="8"/>
        <v>0.2494279176201373</v>
      </c>
    </row>
    <row r="154" spans="1:15" x14ac:dyDescent="0.45">
      <c r="A154" t="s">
        <v>236</v>
      </c>
      <c r="B154" s="4">
        <v>45421</v>
      </c>
      <c r="C154" t="s">
        <v>60</v>
      </c>
      <c r="D154" t="s">
        <v>134</v>
      </c>
      <c r="E154" t="s">
        <v>23</v>
      </c>
      <c r="F154" t="str">
        <f>_xlfn.XLOOKUP(C154,Salespeople!$A$2:$A$11,Salespeople!$C$2:$C$11)</f>
        <v>APAC</v>
      </c>
      <c r="G154" t="str">
        <f>_xlfn.XLOOKUP(C154,Salespeople!$A$2:$A$11,Salespeople!$D$2:$D$11)</f>
        <v>Japan</v>
      </c>
      <c r="H154">
        <v>13</v>
      </c>
      <c r="I154" s="5">
        <f>_xlfn.XLOOKUP($D154,Products!$A$2:$A$16,Products!$D$2:$D$16)</f>
        <v>79</v>
      </c>
      <c r="J154" s="5">
        <f>_xlfn.XLOOKUP(Sales!$D154,Products!$A$2:$A$16,Products!$E$2:$E$16)</f>
        <v>38</v>
      </c>
      <c r="K154" s="8" cm="1">
        <f t="array" ref="K154">_xlfn.IFS(H154&lt;=5,0%,H154&lt;=10,5%,H154&lt;=15,10%,H154&lt;=20,15%,H154&gt;20,20%)</f>
        <v>0.1</v>
      </c>
      <c r="L154" s="5">
        <f t="shared" si="6"/>
        <v>924.30000000000007</v>
      </c>
      <c r="M154" s="5" cm="1">
        <f t="array" ref="M154">L154*_xlfn.IFS(L154&lt;=5000,0.02,L154&lt;=15000,0.04,L154&gt;15000,0.06)</f>
        <v>18.486000000000001</v>
      </c>
      <c r="N154" s="5">
        <f t="shared" si="7"/>
        <v>430.30000000000007</v>
      </c>
      <c r="O154" s="8">
        <f t="shared" si="8"/>
        <v>0.4655414908579466</v>
      </c>
    </row>
    <row r="155" spans="1:15" x14ac:dyDescent="0.45">
      <c r="A155" t="s">
        <v>237</v>
      </c>
      <c r="B155" s="4">
        <v>45329</v>
      </c>
      <c r="C155" t="s">
        <v>139</v>
      </c>
      <c r="D155" t="s">
        <v>74</v>
      </c>
      <c r="E155" t="s">
        <v>14</v>
      </c>
      <c r="F155" t="str">
        <f>_xlfn.XLOOKUP(C155,Salespeople!$A$2:$A$11,Salespeople!$C$2:$C$11)</f>
        <v>Americas</v>
      </c>
      <c r="G155" t="str">
        <f>_xlfn.XLOOKUP(C155,Salespeople!$A$2:$A$11,Salespeople!$D$2:$D$11)</f>
        <v>Canada</v>
      </c>
      <c r="H155">
        <v>2</v>
      </c>
      <c r="I155" s="5">
        <f>_xlfn.XLOOKUP($D155,Products!$A$2:$A$16,Products!$D$2:$D$16)</f>
        <v>210</v>
      </c>
      <c r="J155" s="5">
        <f>_xlfn.XLOOKUP(Sales!$D155,Products!$A$2:$A$16,Products!$E$2:$E$16)</f>
        <v>120</v>
      </c>
      <c r="K155" s="8" cm="1">
        <f t="array" ref="K155">_xlfn.IFS(H155&lt;=5,0%,H155&lt;=10,5%,H155&lt;=15,10%,H155&lt;=20,15%,H155&gt;20,20%)</f>
        <v>0</v>
      </c>
      <c r="L155" s="5">
        <f t="shared" si="6"/>
        <v>420</v>
      </c>
      <c r="M155" s="5" cm="1">
        <f t="array" ref="M155">L155*_xlfn.IFS(L155&lt;=5000,0.02,L155&lt;=15000,0.04,L155&gt;15000,0.06)</f>
        <v>8.4</v>
      </c>
      <c r="N155" s="5">
        <f t="shared" si="7"/>
        <v>180</v>
      </c>
      <c r="O155" s="8">
        <f t="shared" si="8"/>
        <v>0.42857142857142855</v>
      </c>
    </row>
    <row r="156" spans="1:15" x14ac:dyDescent="0.45">
      <c r="A156" t="s">
        <v>238</v>
      </c>
      <c r="B156" s="4">
        <v>45368</v>
      </c>
      <c r="C156" t="s">
        <v>139</v>
      </c>
      <c r="D156" t="s">
        <v>79</v>
      </c>
      <c r="E156" t="s">
        <v>23</v>
      </c>
      <c r="F156" t="str">
        <f>_xlfn.XLOOKUP(C156,Salespeople!$A$2:$A$11,Salespeople!$C$2:$C$11)</f>
        <v>Americas</v>
      </c>
      <c r="G156" t="str">
        <f>_xlfn.XLOOKUP(C156,Salespeople!$A$2:$A$11,Salespeople!$D$2:$D$11)</f>
        <v>Canada</v>
      </c>
      <c r="H156">
        <v>8</v>
      </c>
      <c r="I156" s="5">
        <f>_xlfn.XLOOKUP($D156,Products!$A$2:$A$16,Products!$D$2:$D$16)</f>
        <v>240</v>
      </c>
      <c r="J156" s="5">
        <f>_xlfn.XLOOKUP(Sales!$D156,Products!$A$2:$A$16,Products!$E$2:$E$16)</f>
        <v>150</v>
      </c>
      <c r="K156" s="8" cm="1">
        <f t="array" ref="K156">_xlfn.IFS(H156&lt;=5,0%,H156&lt;=10,5%,H156&lt;=15,10%,H156&lt;=20,15%,H156&gt;20,20%)</f>
        <v>0.05</v>
      </c>
      <c r="L156" s="5">
        <f t="shared" si="6"/>
        <v>1824</v>
      </c>
      <c r="M156" s="5" cm="1">
        <f t="array" ref="M156">L156*_xlfn.IFS(L156&lt;=5000,0.02,L156&lt;=15000,0.04,L156&gt;15000,0.06)</f>
        <v>36.480000000000004</v>
      </c>
      <c r="N156" s="5">
        <f t="shared" si="7"/>
        <v>624</v>
      </c>
      <c r="O156" s="8">
        <f t="shared" si="8"/>
        <v>0.34210526315789475</v>
      </c>
    </row>
    <row r="157" spans="1:15" x14ac:dyDescent="0.45">
      <c r="A157" t="s">
        <v>239</v>
      </c>
      <c r="B157" s="4">
        <v>45577</v>
      </c>
      <c r="C157" t="s">
        <v>33</v>
      </c>
      <c r="D157" t="s">
        <v>40</v>
      </c>
      <c r="E157" t="s">
        <v>14</v>
      </c>
      <c r="F157" t="str">
        <f>_xlfn.XLOOKUP(C157,Salespeople!$A$2:$A$11,Salespeople!$C$2:$C$11)</f>
        <v>EMEA</v>
      </c>
      <c r="G157" t="str">
        <f>_xlfn.XLOOKUP(C157,Salespeople!$A$2:$A$11,Salespeople!$D$2:$D$11)</f>
        <v>Kenya</v>
      </c>
      <c r="H157">
        <v>20</v>
      </c>
      <c r="I157" s="5">
        <f>_xlfn.XLOOKUP($D157,Products!$A$2:$A$16,Products!$D$2:$D$16)</f>
        <v>1050</v>
      </c>
      <c r="J157" s="5">
        <f>_xlfn.XLOOKUP(Sales!$D157,Products!$A$2:$A$16,Products!$E$2:$E$16)</f>
        <v>760</v>
      </c>
      <c r="K157" s="8" cm="1">
        <f t="array" ref="K157">_xlfn.IFS(H157&lt;=5,0%,H157&lt;=10,5%,H157&lt;=15,10%,H157&lt;=20,15%,H157&gt;20,20%)</f>
        <v>0.15</v>
      </c>
      <c r="L157" s="5">
        <f t="shared" si="6"/>
        <v>17850</v>
      </c>
      <c r="M157" s="5" cm="1">
        <f t="array" ref="M157">L157*_xlfn.IFS(L157&lt;=5000,0.02,L157&lt;=15000,0.04,L157&gt;15000,0.06)</f>
        <v>1071</v>
      </c>
      <c r="N157" s="5">
        <f t="shared" si="7"/>
        <v>2650</v>
      </c>
      <c r="O157" s="8">
        <f t="shared" si="8"/>
        <v>0.1484593837535014</v>
      </c>
    </row>
    <row r="158" spans="1:15" x14ac:dyDescent="0.45">
      <c r="A158" t="s">
        <v>240</v>
      </c>
      <c r="B158" s="4">
        <v>45559</v>
      </c>
      <c r="C158" t="s">
        <v>33</v>
      </c>
      <c r="D158" t="s">
        <v>103</v>
      </c>
      <c r="E158" t="s">
        <v>48</v>
      </c>
      <c r="F158" t="str">
        <f>_xlfn.XLOOKUP(C158,Salespeople!$A$2:$A$11,Salespeople!$C$2:$C$11)</f>
        <v>EMEA</v>
      </c>
      <c r="G158" t="str">
        <f>_xlfn.XLOOKUP(C158,Salespeople!$A$2:$A$11,Salespeople!$D$2:$D$11)</f>
        <v>Kenya</v>
      </c>
      <c r="H158">
        <v>10</v>
      </c>
      <c r="I158" s="5">
        <f>_xlfn.XLOOKUP($D158,Products!$A$2:$A$16,Products!$D$2:$D$16)</f>
        <v>1150</v>
      </c>
      <c r="J158" s="5">
        <f>_xlfn.XLOOKUP(Sales!$D158,Products!$A$2:$A$16,Products!$E$2:$E$16)</f>
        <v>820</v>
      </c>
      <c r="K158" s="8" cm="1">
        <f t="array" ref="K158">_xlfn.IFS(H158&lt;=5,0%,H158&lt;=10,5%,H158&lt;=15,10%,H158&lt;=20,15%,H158&gt;20,20%)</f>
        <v>0.05</v>
      </c>
      <c r="L158" s="5">
        <f t="shared" si="6"/>
        <v>10925</v>
      </c>
      <c r="M158" s="5" cm="1">
        <f t="array" ref="M158">L158*_xlfn.IFS(L158&lt;=5000,0.02,L158&lt;=15000,0.04,L158&gt;15000,0.06)</f>
        <v>437</v>
      </c>
      <c r="N158" s="5">
        <f t="shared" si="7"/>
        <v>2725</v>
      </c>
      <c r="O158" s="8">
        <f t="shared" si="8"/>
        <v>0.2494279176201373</v>
      </c>
    </row>
    <row r="159" spans="1:15" x14ac:dyDescent="0.45">
      <c r="A159" t="s">
        <v>241</v>
      </c>
      <c r="B159" s="4">
        <v>45448</v>
      </c>
      <c r="C159" t="s">
        <v>139</v>
      </c>
      <c r="D159" t="s">
        <v>40</v>
      </c>
      <c r="E159" t="s">
        <v>23</v>
      </c>
      <c r="F159" t="str">
        <f>_xlfn.XLOOKUP(C159,Salespeople!$A$2:$A$11,Salespeople!$C$2:$C$11)</f>
        <v>Americas</v>
      </c>
      <c r="G159" t="str">
        <f>_xlfn.XLOOKUP(C159,Salespeople!$A$2:$A$11,Salespeople!$D$2:$D$11)</f>
        <v>Canada</v>
      </c>
      <c r="H159">
        <v>20</v>
      </c>
      <c r="I159" s="5">
        <f>_xlfn.XLOOKUP($D159,Products!$A$2:$A$16,Products!$D$2:$D$16)</f>
        <v>1050</v>
      </c>
      <c r="J159" s="5">
        <f>_xlfn.XLOOKUP(Sales!$D159,Products!$A$2:$A$16,Products!$E$2:$E$16)</f>
        <v>760</v>
      </c>
      <c r="K159" s="8" cm="1">
        <f t="array" ref="K159">_xlfn.IFS(H159&lt;=5,0%,H159&lt;=10,5%,H159&lt;=15,10%,H159&lt;=20,15%,H159&gt;20,20%)</f>
        <v>0.15</v>
      </c>
      <c r="L159" s="5">
        <f t="shared" si="6"/>
        <v>17850</v>
      </c>
      <c r="M159" s="5" cm="1">
        <f t="array" ref="M159">L159*_xlfn.IFS(L159&lt;=5000,0.02,L159&lt;=15000,0.04,L159&gt;15000,0.06)</f>
        <v>1071</v>
      </c>
      <c r="N159" s="5">
        <f t="shared" si="7"/>
        <v>2650</v>
      </c>
      <c r="O159" s="8">
        <f t="shared" si="8"/>
        <v>0.1484593837535014</v>
      </c>
    </row>
    <row r="160" spans="1:15" x14ac:dyDescent="0.45">
      <c r="A160" t="s">
        <v>242</v>
      </c>
      <c r="B160" s="4">
        <v>45398</v>
      </c>
      <c r="C160" t="s">
        <v>51</v>
      </c>
      <c r="D160" t="s">
        <v>79</v>
      </c>
      <c r="E160" t="s">
        <v>14</v>
      </c>
      <c r="F160" t="str">
        <f>_xlfn.XLOOKUP(C160,Salespeople!$A$2:$A$11,Salespeople!$C$2:$C$11)</f>
        <v>Americas</v>
      </c>
      <c r="G160" t="str">
        <f>_xlfn.XLOOKUP(C160,Salespeople!$A$2:$A$11,Salespeople!$D$2:$D$11)</f>
        <v>Mexico</v>
      </c>
      <c r="H160">
        <v>3</v>
      </c>
      <c r="I160" s="5">
        <f>_xlfn.XLOOKUP($D160,Products!$A$2:$A$16,Products!$D$2:$D$16)</f>
        <v>240</v>
      </c>
      <c r="J160" s="5">
        <f>_xlfn.XLOOKUP(Sales!$D160,Products!$A$2:$A$16,Products!$E$2:$E$16)</f>
        <v>150</v>
      </c>
      <c r="K160" s="8" cm="1">
        <f t="array" ref="K160">_xlfn.IFS(H160&lt;=5,0%,H160&lt;=10,5%,H160&lt;=15,10%,H160&lt;=20,15%,H160&gt;20,20%)</f>
        <v>0</v>
      </c>
      <c r="L160" s="5">
        <f t="shared" si="6"/>
        <v>720</v>
      </c>
      <c r="M160" s="5" cm="1">
        <f t="array" ref="M160">L160*_xlfn.IFS(L160&lt;=5000,0.02,L160&lt;=15000,0.04,L160&gt;15000,0.06)</f>
        <v>14.4</v>
      </c>
      <c r="N160" s="5">
        <f t="shared" si="7"/>
        <v>270</v>
      </c>
      <c r="O160" s="8">
        <f t="shared" si="8"/>
        <v>0.375</v>
      </c>
    </row>
    <row r="161" spans="1:15" x14ac:dyDescent="0.45">
      <c r="A161" t="s">
        <v>243</v>
      </c>
      <c r="B161" s="4">
        <v>45414</v>
      </c>
      <c r="C161" t="s">
        <v>26</v>
      </c>
      <c r="D161" t="s">
        <v>62</v>
      </c>
      <c r="E161" t="s">
        <v>23</v>
      </c>
      <c r="F161" t="str">
        <f>_xlfn.XLOOKUP(C161,Salespeople!$A$2:$A$11,Salespeople!$C$2:$C$11)</f>
        <v>APAC</v>
      </c>
      <c r="G161" t="str">
        <f>_xlfn.XLOOKUP(C161,Salespeople!$A$2:$A$11,Salespeople!$D$2:$D$11)</f>
        <v>Singapore</v>
      </c>
      <c r="H161">
        <v>6</v>
      </c>
      <c r="I161" s="5">
        <f>_xlfn.XLOOKUP($D161,Products!$A$2:$A$16,Products!$D$2:$D$16)</f>
        <v>1750</v>
      </c>
      <c r="J161" s="5">
        <f>_xlfn.XLOOKUP(Sales!$D161,Products!$A$2:$A$16,Products!$E$2:$E$16)</f>
        <v>1300</v>
      </c>
      <c r="K161" s="8" cm="1">
        <f t="array" ref="K161">_xlfn.IFS(H161&lt;=5,0%,H161&lt;=10,5%,H161&lt;=15,10%,H161&lt;=20,15%,H161&gt;20,20%)</f>
        <v>0.05</v>
      </c>
      <c r="L161" s="5">
        <f t="shared" si="6"/>
        <v>9975</v>
      </c>
      <c r="M161" s="5" cm="1">
        <f t="array" ref="M161">L161*_xlfn.IFS(L161&lt;=5000,0.02,L161&lt;=15000,0.04,L161&gt;15000,0.06)</f>
        <v>399</v>
      </c>
      <c r="N161" s="5">
        <f t="shared" si="7"/>
        <v>2175</v>
      </c>
      <c r="O161" s="8">
        <f t="shared" si="8"/>
        <v>0.21804511278195488</v>
      </c>
    </row>
    <row r="162" spans="1:15" x14ac:dyDescent="0.45">
      <c r="A162" t="s">
        <v>244</v>
      </c>
      <c r="B162" s="4">
        <v>45501</v>
      </c>
      <c r="C162" t="s">
        <v>60</v>
      </c>
      <c r="D162" t="s">
        <v>28</v>
      </c>
      <c r="E162" t="s">
        <v>14</v>
      </c>
      <c r="F162" t="str">
        <f>_xlfn.XLOOKUP(C162,Salespeople!$A$2:$A$11,Salespeople!$C$2:$C$11)</f>
        <v>APAC</v>
      </c>
      <c r="G162" t="str">
        <f>_xlfn.XLOOKUP(C162,Salespeople!$A$2:$A$11,Salespeople!$D$2:$D$11)</f>
        <v>Japan</v>
      </c>
      <c r="H162">
        <v>16</v>
      </c>
      <c r="I162" s="5">
        <f>_xlfn.XLOOKUP($D162,Products!$A$2:$A$16,Products!$D$2:$D$16)</f>
        <v>95</v>
      </c>
      <c r="J162" s="5">
        <f>_xlfn.XLOOKUP(Sales!$D162,Products!$A$2:$A$16,Products!$E$2:$E$16)</f>
        <v>44</v>
      </c>
      <c r="K162" s="8" cm="1">
        <f t="array" ref="K162">_xlfn.IFS(H162&lt;=5,0%,H162&lt;=10,5%,H162&lt;=15,10%,H162&lt;=20,15%,H162&gt;20,20%)</f>
        <v>0.15</v>
      </c>
      <c r="L162" s="5">
        <f t="shared" si="6"/>
        <v>1292</v>
      </c>
      <c r="M162" s="5" cm="1">
        <f t="array" ref="M162">L162*_xlfn.IFS(L162&lt;=5000,0.02,L162&lt;=15000,0.04,L162&gt;15000,0.06)</f>
        <v>25.84</v>
      </c>
      <c r="N162" s="5">
        <f t="shared" si="7"/>
        <v>588</v>
      </c>
      <c r="O162" s="8">
        <f t="shared" si="8"/>
        <v>0.45510835913312692</v>
      </c>
    </row>
    <row r="163" spans="1:15" x14ac:dyDescent="0.45">
      <c r="A163" t="s">
        <v>245</v>
      </c>
      <c r="B163" s="4">
        <v>45308</v>
      </c>
      <c r="C163" t="s">
        <v>51</v>
      </c>
      <c r="D163" t="s">
        <v>79</v>
      </c>
      <c r="E163" t="s">
        <v>14</v>
      </c>
      <c r="F163" t="str">
        <f>_xlfn.XLOOKUP(C163,Salespeople!$A$2:$A$11,Salespeople!$C$2:$C$11)</f>
        <v>Americas</v>
      </c>
      <c r="G163" t="str">
        <f>_xlfn.XLOOKUP(C163,Salespeople!$A$2:$A$11,Salespeople!$D$2:$D$11)</f>
        <v>Mexico</v>
      </c>
      <c r="H163">
        <v>10</v>
      </c>
      <c r="I163" s="5">
        <f>_xlfn.XLOOKUP($D163,Products!$A$2:$A$16,Products!$D$2:$D$16)</f>
        <v>240</v>
      </c>
      <c r="J163" s="5">
        <f>_xlfn.XLOOKUP(Sales!$D163,Products!$A$2:$A$16,Products!$E$2:$E$16)</f>
        <v>150</v>
      </c>
      <c r="K163" s="8" cm="1">
        <f t="array" ref="K163">_xlfn.IFS(H163&lt;=5,0%,H163&lt;=10,5%,H163&lt;=15,10%,H163&lt;=20,15%,H163&gt;20,20%)</f>
        <v>0.05</v>
      </c>
      <c r="L163" s="5">
        <f t="shared" si="6"/>
        <v>2280</v>
      </c>
      <c r="M163" s="5" cm="1">
        <f t="array" ref="M163">L163*_xlfn.IFS(L163&lt;=5000,0.02,L163&lt;=15000,0.04,L163&gt;15000,0.06)</f>
        <v>45.6</v>
      </c>
      <c r="N163" s="5">
        <f t="shared" si="7"/>
        <v>780</v>
      </c>
      <c r="O163" s="8">
        <f t="shared" si="8"/>
        <v>0.34210526315789475</v>
      </c>
    </row>
    <row r="164" spans="1:15" x14ac:dyDescent="0.45">
      <c r="A164" t="s">
        <v>246</v>
      </c>
      <c r="B164" s="4">
        <v>45328</v>
      </c>
      <c r="C164" t="s">
        <v>51</v>
      </c>
      <c r="D164" t="s">
        <v>91</v>
      </c>
      <c r="E164" t="s">
        <v>48</v>
      </c>
      <c r="F164" t="str">
        <f>_xlfn.XLOOKUP(C164,Salespeople!$A$2:$A$11,Salespeople!$C$2:$C$11)</f>
        <v>Americas</v>
      </c>
      <c r="G164" t="str">
        <f>_xlfn.XLOOKUP(C164,Salespeople!$A$2:$A$11,Salespeople!$D$2:$D$11)</f>
        <v>Mexico</v>
      </c>
      <c r="H164">
        <v>21</v>
      </c>
      <c r="I164" s="5">
        <f>_xlfn.XLOOKUP($D164,Products!$A$2:$A$16,Products!$D$2:$D$16)</f>
        <v>160</v>
      </c>
      <c r="J164" s="5">
        <f>_xlfn.XLOOKUP(Sales!$D164,Products!$A$2:$A$16,Products!$E$2:$E$16)</f>
        <v>88</v>
      </c>
      <c r="K164" s="8" cm="1">
        <f t="array" ref="K164">_xlfn.IFS(H164&lt;=5,0%,H164&lt;=10,5%,H164&lt;=15,10%,H164&lt;=20,15%,H164&gt;20,20%)</f>
        <v>0.2</v>
      </c>
      <c r="L164" s="5">
        <f t="shared" si="6"/>
        <v>2688</v>
      </c>
      <c r="M164" s="5" cm="1">
        <f t="array" ref="M164">L164*_xlfn.IFS(L164&lt;=5000,0.02,L164&lt;=15000,0.04,L164&gt;15000,0.06)</f>
        <v>53.76</v>
      </c>
      <c r="N164" s="5">
        <f t="shared" si="7"/>
        <v>840</v>
      </c>
      <c r="O164" s="8">
        <f t="shared" si="8"/>
        <v>0.3125</v>
      </c>
    </row>
    <row r="165" spans="1:15" x14ac:dyDescent="0.45">
      <c r="A165" t="s">
        <v>247</v>
      </c>
      <c r="B165" s="4">
        <v>45509</v>
      </c>
      <c r="C165" t="s">
        <v>17</v>
      </c>
      <c r="D165" t="s">
        <v>62</v>
      </c>
      <c r="E165" t="s">
        <v>23</v>
      </c>
      <c r="F165" t="str">
        <f>_xlfn.XLOOKUP(C165,Salespeople!$A$2:$A$11,Salespeople!$C$2:$C$11)</f>
        <v>EMEA</v>
      </c>
      <c r="G165" t="str">
        <f>_xlfn.XLOOKUP(C165,Salespeople!$A$2:$A$11,Salespeople!$D$2:$D$11)</f>
        <v>Portugal</v>
      </c>
      <c r="H165">
        <v>21</v>
      </c>
      <c r="I165" s="5">
        <f>_xlfn.XLOOKUP($D165,Products!$A$2:$A$16,Products!$D$2:$D$16)</f>
        <v>1750</v>
      </c>
      <c r="J165" s="5">
        <f>_xlfn.XLOOKUP(Sales!$D165,Products!$A$2:$A$16,Products!$E$2:$E$16)</f>
        <v>1300</v>
      </c>
      <c r="K165" s="8" cm="1">
        <f t="array" ref="K165">_xlfn.IFS(H165&lt;=5,0%,H165&lt;=10,5%,H165&lt;=15,10%,H165&lt;=20,15%,H165&gt;20,20%)</f>
        <v>0.2</v>
      </c>
      <c r="L165" s="5">
        <f t="shared" si="6"/>
        <v>29400</v>
      </c>
      <c r="M165" s="5" cm="1">
        <f t="array" ref="M165">L165*_xlfn.IFS(L165&lt;=5000,0.02,L165&lt;=15000,0.04,L165&gt;15000,0.06)</f>
        <v>1764</v>
      </c>
      <c r="N165" s="5">
        <f t="shared" si="7"/>
        <v>2100</v>
      </c>
      <c r="O165" s="8">
        <f t="shared" si="8"/>
        <v>7.1428571428571425E-2</v>
      </c>
    </row>
    <row r="166" spans="1:15" x14ac:dyDescent="0.45">
      <c r="A166" t="s">
        <v>248</v>
      </c>
      <c r="B166" s="4">
        <v>45428</v>
      </c>
      <c r="C166" t="s">
        <v>26</v>
      </c>
      <c r="D166" t="s">
        <v>134</v>
      </c>
      <c r="E166" t="s">
        <v>23</v>
      </c>
      <c r="F166" t="str">
        <f>_xlfn.XLOOKUP(C166,Salespeople!$A$2:$A$11,Salespeople!$C$2:$C$11)</f>
        <v>APAC</v>
      </c>
      <c r="G166" t="str">
        <f>_xlfn.XLOOKUP(C166,Salespeople!$A$2:$A$11,Salespeople!$D$2:$D$11)</f>
        <v>Singapore</v>
      </c>
      <c r="H166">
        <v>6</v>
      </c>
      <c r="I166" s="5">
        <f>_xlfn.XLOOKUP($D166,Products!$A$2:$A$16,Products!$D$2:$D$16)</f>
        <v>79</v>
      </c>
      <c r="J166" s="5">
        <f>_xlfn.XLOOKUP(Sales!$D166,Products!$A$2:$A$16,Products!$E$2:$E$16)</f>
        <v>38</v>
      </c>
      <c r="K166" s="8" cm="1">
        <f t="array" ref="K166">_xlfn.IFS(H166&lt;=5,0%,H166&lt;=10,5%,H166&lt;=15,10%,H166&lt;=20,15%,H166&gt;20,20%)</f>
        <v>0.05</v>
      </c>
      <c r="L166" s="5">
        <f t="shared" si="6"/>
        <v>450.29999999999995</v>
      </c>
      <c r="M166" s="5" cm="1">
        <f t="array" ref="M166">L166*_xlfn.IFS(L166&lt;=5000,0.02,L166&lt;=15000,0.04,L166&gt;15000,0.06)</f>
        <v>9.0059999999999985</v>
      </c>
      <c r="N166" s="5">
        <f t="shared" si="7"/>
        <v>222.29999999999995</v>
      </c>
      <c r="O166" s="8">
        <f t="shared" si="8"/>
        <v>0.49367088607594933</v>
      </c>
    </row>
    <row r="167" spans="1:15" x14ac:dyDescent="0.45">
      <c r="A167" t="s">
        <v>249</v>
      </c>
      <c r="B167" s="4">
        <v>45596</v>
      </c>
      <c r="C167" t="s">
        <v>139</v>
      </c>
      <c r="D167" t="s">
        <v>91</v>
      </c>
      <c r="E167" t="s">
        <v>48</v>
      </c>
      <c r="F167" t="str">
        <f>_xlfn.XLOOKUP(C167,Salespeople!$A$2:$A$11,Salespeople!$C$2:$C$11)</f>
        <v>Americas</v>
      </c>
      <c r="G167" t="str">
        <f>_xlfn.XLOOKUP(C167,Salespeople!$A$2:$A$11,Salespeople!$D$2:$D$11)</f>
        <v>Canada</v>
      </c>
      <c r="H167">
        <v>15</v>
      </c>
      <c r="I167" s="5">
        <f>_xlfn.XLOOKUP($D167,Products!$A$2:$A$16,Products!$D$2:$D$16)</f>
        <v>160</v>
      </c>
      <c r="J167" s="5">
        <f>_xlfn.XLOOKUP(Sales!$D167,Products!$A$2:$A$16,Products!$E$2:$E$16)</f>
        <v>88</v>
      </c>
      <c r="K167" s="8" cm="1">
        <f t="array" ref="K167">_xlfn.IFS(H167&lt;=5,0%,H167&lt;=10,5%,H167&lt;=15,10%,H167&lt;=20,15%,H167&gt;20,20%)</f>
        <v>0.1</v>
      </c>
      <c r="L167" s="5">
        <f t="shared" si="6"/>
        <v>2160</v>
      </c>
      <c r="M167" s="5" cm="1">
        <f t="array" ref="M167">L167*_xlfn.IFS(L167&lt;=5000,0.02,L167&lt;=15000,0.04,L167&gt;15000,0.06)</f>
        <v>43.2</v>
      </c>
      <c r="N167" s="5">
        <f t="shared" si="7"/>
        <v>840</v>
      </c>
      <c r="O167" s="8">
        <f t="shared" si="8"/>
        <v>0.3888888888888889</v>
      </c>
    </row>
    <row r="168" spans="1:15" x14ac:dyDescent="0.45">
      <c r="A168" t="s">
        <v>250</v>
      </c>
      <c r="B168" s="4">
        <v>45531</v>
      </c>
      <c r="C168" t="s">
        <v>66</v>
      </c>
      <c r="D168" t="s">
        <v>28</v>
      </c>
      <c r="E168" t="s">
        <v>48</v>
      </c>
      <c r="F168" t="str">
        <f>_xlfn.XLOOKUP(C168,Salespeople!$A$2:$A$11,Salespeople!$C$2:$C$11)</f>
        <v>Americas</v>
      </c>
      <c r="G168" t="str">
        <f>_xlfn.XLOOKUP(C168,Salespeople!$A$2:$A$11,Salespeople!$D$2:$D$11)</f>
        <v>United States</v>
      </c>
      <c r="H168">
        <v>9</v>
      </c>
      <c r="I168" s="5">
        <f>_xlfn.XLOOKUP($D168,Products!$A$2:$A$16,Products!$D$2:$D$16)</f>
        <v>95</v>
      </c>
      <c r="J168" s="5">
        <f>_xlfn.XLOOKUP(Sales!$D168,Products!$A$2:$A$16,Products!$E$2:$E$16)</f>
        <v>44</v>
      </c>
      <c r="K168" s="8" cm="1">
        <f t="array" ref="K168">_xlfn.IFS(H168&lt;=5,0%,H168&lt;=10,5%,H168&lt;=15,10%,H168&lt;=20,15%,H168&gt;20,20%)</f>
        <v>0.05</v>
      </c>
      <c r="L168" s="5">
        <f t="shared" si="6"/>
        <v>812.25</v>
      </c>
      <c r="M168" s="5" cm="1">
        <f t="array" ref="M168">L168*_xlfn.IFS(L168&lt;=5000,0.02,L168&lt;=15000,0.04,L168&gt;15000,0.06)</f>
        <v>16.245000000000001</v>
      </c>
      <c r="N168" s="5">
        <f t="shared" si="7"/>
        <v>416.25</v>
      </c>
      <c r="O168" s="8">
        <f t="shared" si="8"/>
        <v>0.51246537396121883</v>
      </c>
    </row>
    <row r="169" spans="1:15" x14ac:dyDescent="0.45">
      <c r="A169" t="s">
        <v>251</v>
      </c>
      <c r="B169" s="4">
        <v>45516</v>
      </c>
      <c r="C169" t="s">
        <v>17</v>
      </c>
      <c r="D169" t="s">
        <v>40</v>
      </c>
      <c r="E169" t="s">
        <v>23</v>
      </c>
      <c r="F169" t="str">
        <f>_xlfn.XLOOKUP(C169,Salespeople!$A$2:$A$11,Salespeople!$C$2:$C$11)</f>
        <v>EMEA</v>
      </c>
      <c r="G169" t="str">
        <f>_xlfn.XLOOKUP(C169,Salespeople!$A$2:$A$11,Salespeople!$D$2:$D$11)</f>
        <v>Portugal</v>
      </c>
      <c r="H169">
        <v>14</v>
      </c>
      <c r="I169" s="5">
        <f>_xlfn.XLOOKUP($D169,Products!$A$2:$A$16,Products!$D$2:$D$16)</f>
        <v>1050</v>
      </c>
      <c r="J169" s="5">
        <f>_xlfn.XLOOKUP(Sales!$D169,Products!$A$2:$A$16,Products!$E$2:$E$16)</f>
        <v>760</v>
      </c>
      <c r="K169" s="8" cm="1">
        <f t="array" ref="K169">_xlfn.IFS(H169&lt;=5,0%,H169&lt;=10,5%,H169&lt;=15,10%,H169&lt;=20,15%,H169&gt;20,20%)</f>
        <v>0.1</v>
      </c>
      <c r="L169" s="5">
        <f t="shared" si="6"/>
        <v>13230</v>
      </c>
      <c r="M169" s="5" cm="1">
        <f t="array" ref="M169">L169*_xlfn.IFS(L169&lt;=5000,0.02,L169&lt;=15000,0.04,L169&gt;15000,0.06)</f>
        <v>529.20000000000005</v>
      </c>
      <c r="N169" s="5">
        <f t="shared" si="7"/>
        <v>2590</v>
      </c>
      <c r="O169" s="8">
        <f t="shared" si="8"/>
        <v>0.19576719576719576</v>
      </c>
    </row>
    <row r="170" spans="1:15" x14ac:dyDescent="0.45">
      <c r="A170" t="s">
        <v>252</v>
      </c>
      <c r="B170" s="4">
        <v>45601</v>
      </c>
      <c r="C170" t="s">
        <v>66</v>
      </c>
      <c r="D170" t="s">
        <v>19</v>
      </c>
      <c r="E170" t="s">
        <v>23</v>
      </c>
      <c r="F170" t="str">
        <f>_xlfn.XLOOKUP(C170,Salespeople!$A$2:$A$11,Salespeople!$C$2:$C$11)</f>
        <v>Americas</v>
      </c>
      <c r="G170" t="str">
        <f>_xlfn.XLOOKUP(C170,Salespeople!$A$2:$A$11,Salespeople!$D$2:$D$11)</f>
        <v>United States</v>
      </c>
      <c r="H170">
        <v>8</v>
      </c>
      <c r="I170" s="5">
        <f>_xlfn.XLOOKUP($D170,Products!$A$2:$A$16,Products!$D$2:$D$16)</f>
        <v>25</v>
      </c>
      <c r="J170" s="5">
        <f>_xlfn.XLOOKUP(Sales!$D170,Products!$A$2:$A$16,Products!$E$2:$E$16)</f>
        <v>11</v>
      </c>
      <c r="K170" s="8" cm="1">
        <f t="array" ref="K170">_xlfn.IFS(H170&lt;=5,0%,H170&lt;=10,5%,H170&lt;=15,10%,H170&lt;=20,15%,H170&gt;20,20%)</f>
        <v>0.05</v>
      </c>
      <c r="L170" s="5">
        <f t="shared" si="6"/>
        <v>190</v>
      </c>
      <c r="M170" s="5" cm="1">
        <f t="array" ref="M170">L170*_xlfn.IFS(L170&lt;=5000,0.02,L170&lt;=15000,0.04,L170&gt;15000,0.06)</f>
        <v>3.8000000000000003</v>
      </c>
      <c r="N170" s="5">
        <f t="shared" si="7"/>
        <v>102</v>
      </c>
      <c r="O170" s="8">
        <f t="shared" si="8"/>
        <v>0.5368421052631579</v>
      </c>
    </row>
    <row r="171" spans="1:15" x14ac:dyDescent="0.45">
      <c r="A171" t="s">
        <v>253</v>
      </c>
      <c r="B171" s="4">
        <v>45636</v>
      </c>
      <c r="C171" t="s">
        <v>66</v>
      </c>
      <c r="D171" t="s">
        <v>40</v>
      </c>
      <c r="E171" t="s">
        <v>23</v>
      </c>
      <c r="F171" t="str">
        <f>_xlfn.XLOOKUP(C171,Salespeople!$A$2:$A$11,Salespeople!$C$2:$C$11)</f>
        <v>Americas</v>
      </c>
      <c r="G171" t="str">
        <f>_xlfn.XLOOKUP(C171,Salespeople!$A$2:$A$11,Salespeople!$D$2:$D$11)</f>
        <v>United States</v>
      </c>
      <c r="H171">
        <v>25</v>
      </c>
      <c r="I171" s="5">
        <f>_xlfn.XLOOKUP($D171,Products!$A$2:$A$16,Products!$D$2:$D$16)</f>
        <v>1050</v>
      </c>
      <c r="J171" s="5">
        <f>_xlfn.XLOOKUP(Sales!$D171,Products!$A$2:$A$16,Products!$E$2:$E$16)</f>
        <v>760</v>
      </c>
      <c r="K171" s="8" cm="1">
        <f t="array" ref="K171">_xlfn.IFS(H171&lt;=5,0%,H171&lt;=10,5%,H171&lt;=15,10%,H171&lt;=20,15%,H171&gt;20,20%)</f>
        <v>0.2</v>
      </c>
      <c r="L171" s="5">
        <f t="shared" si="6"/>
        <v>21000</v>
      </c>
      <c r="M171" s="5" cm="1">
        <f t="array" ref="M171">L171*_xlfn.IFS(L171&lt;=5000,0.02,L171&lt;=15000,0.04,L171&gt;15000,0.06)</f>
        <v>1260</v>
      </c>
      <c r="N171" s="5">
        <f t="shared" si="7"/>
        <v>2000</v>
      </c>
      <c r="O171" s="8">
        <f t="shared" si="8"/>
        <v>9.5238095238095233E-2</v>
      </c>
    </row>
    <row r="172" spans="1:15" x14ac:dyDescent="0.45">
      <c r="A172" t="s">
        <v>254</v>
      </c>
      <c r="B172" s="4">
        <v>45532</v>
      </c>
      <c r="C172" t="s">
        <v>38</v>
      </c>
      <c r="D172" t="s">
        <v>74</v>
      </c>
      <c r="E172" t="s">
        <v>48</v>
      </c>
      <c r="F172" t="str">
        <f>_xlfn.XLOOKUP(C172,Salespeople!$A$2:$A$11,Salespeople!$C$2:$C$11)</f>
        <v>Americas</v>
      </c>
      <c r="G172" t="str">
        <f>_xlfn.XLOOKUP(C172,Salespeople!$A$2:$A$11,Salespeople!$D$2:$D$11)</f>
        <v>Brazil</v>
      </c>
      <c r="H172">
        <v>9</v>
      </c>
      <c r="I172" s="5">
        <f>_xlfn.XLOOKUP($D172,Products!$A$2:$A$16,Products!$D$2:$D$16)</f>
        <v>210</v>
      </c>
      <c r="J172" s="5">
        <f>_xlfn.XLOOKUP(Sales!$D172,Products!$A$2:$A$16,Products!$E$2:$E$16)</f>
        <v>120</v>
      </c>
      <c r="K172" s="8" cm="1">
        <f t="array" ref="K172">_xlfn.IFS(H172&lt;=5,0%,H172&lt;=10,5%,H172&lt;=15,10%,H172&lt;=20,15%,H172&gt;20,20%)</f>
        <v>0.05</v>
      </c>
      <c r="L172" s="5">
        <f t="shared" si="6"/>
        <v>1795.5</v>
      </c>
      <c r="M172" s="5" cm="1">
        <f t="array" ref="M172">L172*_xlfn.IFS(L172&lt;=5000,0.02,L172&lt;=15000,0.04,L172&gt;15000,0.06)</f>
        <v>35.910000000000004</v>
      </c>
      <c r="N172" s="5">
        <f t="shared" si="7"/>
        <v>715.5</v>
      </c>
      <c r="O172" s="8">
        <f t="shared" si="8"/>
        <v>0.39849624060150374</v>
      </c>
    </row>
    <row r="173" spans="1:15" x14ac:dyDescent="0.45">
      <c r="A173" t="s">
        <v>255</v>
      </c>
      <c r="B173" s="4">
        <v>45591</v>
      </c>
      <c r="C173" t="s">
        <v>33</v>
      </c>
      <c r="D173" t="s">
        <v>74</v>
      </c>
      <c r="E173" t="s">
        <v>48</v>
      </c>
      <c r="F173" t="str">
        <f>_xlfn.XLOOKUP(C173,Salespeople!$A$2:$A$11,Salespeople!$C$2:$C$11)</f>
        <v>EMEA</v>
      </c>
      <c r="G173" t="str">
        <f>_xlfn.XLOOKUP(C173,Salespeople!$A$2:$A$11,Salespeople!$D$2:$D$11)</f>
        <v>Kenya</v>
      </c>
      <c r="H173">
        <v>3</v>
      </c>
      <c r="I173" s="5">
        <f>_xlfn.XLOOKUP($D173,Products!$A$2:$A$16,Products!$D$2:$D$16)</f>
        <v>210</v>
      </c>
      <c r="J173" s="5">
        <f>_xlfn.XLOOKUP(Sales!$D173,Products!$A$2:$A$16,Products!$E$2:$E$16)</f>
        <v>120</v>
      </c>
      <c r="K173" s="8" cm="1">
        <f t="array" ref="K173">_xlfn.IFS(H173&lt;=5,0%,H173&lt;=10,5%,H173&lt;=15,10%,H173&lt;=20,15%,H173&gt;20,20%)</f>
        <v>0</v>
      </c>
      <c r="L173" s="5">
        <f t="shared" si="6"/>
        <v>630</v>
      </c>
      <c r="M173" s="5" cm="1">
        <f t="array" ref="M173">L173*_xlfn.IFS(L173&lt;=5000,0.02,L173&lt;=15000,0.04,L173&gt;15000,0.06)</f>
        <v>12.6</v>
      </c>
      <c r="N173" s="5">
        <f t="shared" si="7"/>
        <v>270</v>
      </c>
      <c r="O173" s="8">
        <f t="shared" si="8"/>
        <v>0.42857142857142855</v>
      </c>
    </row>
    <row r="174" spans="1:15" x14ac:dyDescent="0.45">
      <c r="A174" t="s">
        <v>256</v>
      </c>
      <c r="B174" s="4">
        <v>45470</v>
      </c>
      <c r="C174" t="s">
        <v>33</v>
      </c>
      <c r="D174" t="s">
        <v>56</v>
      </c>
      <c r="E174" t="s">
        <v>48</v>
      </c>
      <c r="F174" t="str">
        <f>_xlfn.XLOOKUP(C174,Salespeople!$A$2:$A$11,Salespeople!$C$2:$C$11)</f>
        <v>EMEA</v>
      </c>
      <c r="G174" t="str">
        <f>_xlfn.XLOOKUP(C174,Salespeople!$A$2:$A$11,Salespeople!$D$2:$D$11)</f>
        <v>Kenya</v>
      </c>
      <c r="H174">
        <v>22</v>
      </c>
      <c r="I174" s="5">
        <f>_xlfn.XLOOKUP($D174,Products!$A$2:$A$16,Products!$D$2:$D$16)</f>
        <v>520</v>
      </c>
      <c r="J174" s="5">
        <f>_xlfn.XLOOKUP(Sales!$D174,Products!$A$2:$A$16,Products!$E$2:$E$16)</f>
        <v>360</v>
      </c>
      <c r="K174" s="8" cm="1">
        <f t="array" ref="K174">_xlfn.IFS(H174&lt;=5,0%,H174&lt;=10,5%,H174&lt;=15,10%,H174&lt;=20,15%,H174&gt;20,20%)</f>
        <v>0.2</v>
      </c>
      <c r="L174" s="5">
        <f t="shared" si="6"/>
        <v>9152</v>
      </c>
      <c r="M174" s="5" cm="1">
        <f t="array" ref="M174">L174*_xlfn.IFS(L174&lt;=5000,0.02,L174&lt;=15000,0.04,L174&gt;15000,0.06)</f>
        <v>366.08</v>
      </c>
      <c r="N174" s="5">
        <f t="shared" si="7"/>
        <v>1232</v>
      </c>
      <c r="O174" s="8">
        <f t="shared" si="8"/>
        <v>0.13461538461538461</v>
      </c>
    </row>
    <row r="175" spans="1:15" x14ac:dyDescent="0.45">
      <c r="A175" t="s">
        <v>257</v>
      </c>
      <c r="B175" s="4">
        <v>45374</v>
      </c>
      <c r="C175" t="s">
        <v>83</v>
      </c>
      <c r="D175" t="s">
        <v>44</v>
      </c>
      <c r="E175" t="s">
        <v>14</v>
      </c>
      <c r="F175" t="str">
        <f>_xlfn.XLOOKUP(C175,Salespeople!$A$2:$A$11,Salespeople!$C$2:$C$11)</f>
        <v>EMEA</v>
      </c>
      <c r="G175" t="str">
        <f>_xlfn.XLOOKUP(C175,Salespeople!$A$2:$A$11,Salespeople!$D$2:$D$11)</f>
        <v>United Arab Emirates</v>
      </c>
      <c r="H175">
        <v>16</v>
      </c>
      <c r="I175" s="5">
        <f>_xlfn.XLOOKUP($D175,Products!$A$2:$A$16,Products!$D$2:$D$16)</f>
        <v>180</v>
      </c>
      <c r="J175" s="5">
        <f>_xlfn.XLOOKUP(Sales!$D175,Products!$A$2:$A$16,Products!$E$2:$E$16)</f>
        <v>105</v>
      </c>
      <c r="K175" s="8" cm="1">
        <f t="array" ref="K175">_xlfn.IFS(H175&lt;=5,0%,H175&lt;=10,5%,H175&lt;=15,10%,H175&lt;=20,15%,H175&gt;20,20%)</f>
        <v>0.15</v>
      </c>
      <c r="L175" s="5">
        <f t="shared" si="6"/>
        <v>2448</v>
      </c>
      <c r="M175" s="5" cm="1">
        <f t="array" ref="M175">L175*_xlfn.IFS(L175&lt;=5000,0.02,L175&lt;=15000,0.04,L175&gt;15000,0.06)</f>
        <v>48.96</v>
      </c>
      <c r="N175" s="5">
        <f t="shared" si="7"/>
        <v>768</v>
      </c>
      <c r="O175" s="8">
        <f t="shared" si="8"/>
        <v>0.31372549019607843</v>
      </c>
    </row>
    <row r="176" spans="1:15" x14ac:dyDescent="0.45">
      <c r="A176" t="s">
        <v>258</v>
      </c>
      <c r="B176" s="4">
        <v>45631</v>
      </c>
      <c r="C176" t="s">
        <v>33</v>
      </c>
      <c r="D176" t="s">
        <v>68</v>
      </c>
      <c r="E176" t="s">
        <v>14</v>
      </c>
      <c r="F176" t="str">
        <f>_xlfn.XLOOKUP(C176,Salespeople!$A$2:$A$11,Salespeople!$C$2:$C$11)</f>
        <v>EMEA</v>
      </c>
      <c r="G176" t="str">
        <f>_xlfn.XLOOKUP(C176,Salespeople!$A$2:$A$11,Salespeople!$D$2:$D$11)</f>
        <v>Kenya</v>
      </c>
      <c r="H176">
        <v>2</v>
      </c>
      <c r="I176" s="5">
        <f>_xlfn.XLOOKUP($D176,Products!$A$2:$A$16,Products!$D$2:$D$16)</f>
        <v>110</v>
      </c>
      <c r="J176" s="5">
        <f>_xlfn.XLOOKUP(Sales!$D176,Products!$A$2:$A$16,Products!$E$2:$E$16)</f>
        <v>55</v>
      </c>
      <c r="K176" s="8" cm="1">
        <f t="array" ref="K176">_xlfn.IFS(H176&lt;=5,0%,H176&lt;=10,5%,H176&lt;=15,10%,H176&lt;=20,15%,H176&gt;20,20%)</f>
        <v>0</v>
      </c>
      <c r="L176" s="5">
        <f t="shared" si="6"/>
        <v>220</v>
      </c>
      <c r="M176" s="5" cm="1">
        <f t="array" ref="M176">L176*_xlfn.IFS(L176&lt;=5000,0.02,L176&lt;=15000,0.04,L176&gt;15000,0.06)</f>
        <v>4.4000000000000004</v>
      </c>
      <c r="N176" s="5">
        <f t="shared" si="7"/>
        <v>110</v>
      </c>
      <c r="O176" s="8">
        <f t="shared" si="8"/>
        <v>0.5</v>
      </c>
    </row>
    <row r="177" spans="1:15" x14ac:dyDescent="0.45">
      <c r="A177" t="s">
        <v>259</v>
      </c>
      <c r="B177" s="4">
        <v>45337</v>
      </c>
      <c r="C177" t="s">
        <v>83</v>
      </c>
      <c r="D177" t="s">
        <v>79</v>
      </c>
      <c r="E177" t="s">
        <v>48</v>
      </c>
      <c r="F177" t="str">
        <f>_xlfn.XLOOKUP(C177,Salespeople!$A$2:$A$11,Salespeople!$C$2:$C$11)</f>
        <v>EMEA</v>
      </c>
      <c r="G177" t="str">
        <f>_xlfn.XLOOKUP(C177,Salespeople!$A$2:$A$11,Salespeople!$D$2:$D$11)</f>
        <v>United Arab Emirates</v>
      </c>
      <c r="H177">
        <v>4</v>
      </c>
      <c r="I177" s="5">
        <f>_xlfn.XLOOKUP($D177,Products!$A$2:$A$16,Products!$D$2:$D$16)</f>
        <v>240</v>
      </c>
      <c r="J177" s="5">
        <f>_xlfn.XLOOKUP(Sales!$D177,Products!$A$2:$A$16,Products!$E$2:$E$16)</f>
        <v>150</v>
      </c>
      <c r="K177" s="8" cm="1">
        <f t="array" ref="K177">_xlfn.IFS(H177&lt;=5,0%,H177&lt;=10,5%,H177&lt;=15,10%,H177&lt;=20,15%,H177&gt;20,20%)</f>
        <v>0</v>
      </c>
      <c r="L177" s="5">
        <f t="shared" si="6"/>
        <v>960</v>
      </c>
      <c r="M177" s="5" cm="1">
        <f t="array" ref="M177">L177*_xlfn.IFS(L177&lt;=5000,0.02,L177&lt;=15000,0.04,L177&gt;15000,0.06)</f>
        <v>19.2</v>
      </c>
      <c r="N177" s="5">
        <f t="shared" si="7"/>
        <v>360</v>
      </c>
      <c r="O177" s="8">
        <f t="shared" si="8"/>
        <v>0.375</v>
      </c>
    </row>
    <row r="178" spans="1:15" x14ac:dyDescent="0.45">
      <c r="A178" t="s">
        <v>260</v>
      </c>
      <c r="B178" s="4">
        <v>45555</v>
      </c>
      <c r="C178" t="s">
        <v>131</v>
      </c>
      <c r="D178" t="s">
        <v>74</v>
      </c>
      <c r="E178" t="s">
        <v>14</v>
      </c>
      <c r="F178" t="str">
        <f>_xlfn.XLOOKUP(C178,Salespeople!$A$2:$A$11,Salespeople!$C$2:$C$11)</f>
        <v>EMEA</v>
      </c>
      <c r="G178" t="str">
        <f>_xlfn.XLOOKUP(C178,Salespeople!$A$2:$A$11,Salespeople!$D$2:$D$11)</f>
        <v>United Kingdom</v>
      </c>
      <c r="H178">
        <v>15</v>
      </c>
      <c r="I178" s="5">
        <f>_xlfn.XLOOKUP($D178,Products!$A$2:$A$16,Products!$D$2:$D$16)</f>
        <v>210</v>
      </c>
      <c r="J178" s="5">
        <f>_xlfn.XLOOKUP(Sales!$D178,Products!$A$2:$A$16,Products!$E$2:$E$16)</f>
        <v>120</v>
      </c>
      <c r="K178" s="8" cm="1">
        <f t="array" ref="K178">_xlfn.IFS(H178&lt;=5,0%,H178&lt;=10,5%,H178&lt;=15,10%,H178&lt;=20,15%,H178&gt;20,20%)</f>
        <v>0.1</v>
      </c>
      <c r="L178" s="5">
        <f t="shared" si="6"/>
        <v>2835</v>
      </c>
      <c r="M178" s="5" cm="1">
        <f t="array" ref="M178">L178*_xlfn.IFS(L178&lt;=5000,0.02,L178&lt;=15000,0.04,L178&gt;15000,0.06)</f>
        <v>56.7</v>
      </c>
      <c r="N178" s="5">
        <f t="shared" si="7"/>
        <v>1035</v>
      </c>
      <c r="O178" s="8">
        <f t="shared" si="8"/>
        <v>0.36507936507936506</v>
      </c>
    </row>
    <row r="179" spans="1:15" x14ac:dyDescent="0.45">
      <c r="A179" t="s">
        <v>261</v>
      </c>
      <c r="B179" s="4">
        <v>45319</v>
      </c>
      <c r="C179" t="s">
        <v>51</v>
      </c>
      <c r="D179" t="s">
        <v>62</v>
      </c>
      <c r="E179" t="s">
        <v>48</v>
      </c>
      <c r="F179" t="str">
        <f>_xlfn.XLOOKUP(C179,Salespeople!$A$2:$A$11,Salespeople!$C$2:$C$11)</f>
        <v>Americas</v>
      </c>
      <c r="G179" t="str">
        <f>_xlfn.XLOOKUP(C179,Salespeople!$A$2:$A$11,Salespeople!$D$2:$D$11)</f>
        <v>Mexico</v>
      </c>
      <c r="H179">
        <v>20</v>
      </c>
      <c r="I179" s="5">
        <f>_xlfn.XLOOKUP($D179,Products!$A$2:$A$16,Products!$D$2:$D$16)</f>
        <v>1750</v>
      </c>
      <c r="J179" s="5">
        <f>_xlfn.XLOOKUP(Sales!$D179,Products!$A$2:$A$16,Products!$E$2:$E$16)</f>
        <v>1300</v>
      </c>
      <c r="K179" s="8" cm="1">
        <f t="array" ref="K179">_xlfn.IFS(H179&lt;=5,0%,H179&lt;=10,5%,H179&lt;=15,10%,H179&lt;=20,15%,H179&gt;20,20%)</f>
        <v>0.15</v>
      </c>
      <c r="L179" s="5">
        <f t="shared" si="6"/>
        <v>29750</v>
      </c>
      <c r="M179" s="5" cm="1">
        <f t="array" ref="M179">L179*_xlfn.IFS(L179&lt;=5000,0.02,L179&lt;=15000,0.04,L179&gt;15000,0.06)</f>
        <v>1785</v>
      </c>
      <c r="N179" s="5">
        <f t="shared" si="7"/>
        <v>3750</v>
      </c>
      <c r="O179" s="8">
        <f t="shared" si="8"/>
        <v>0.12605042016806722</v>
      </c>
    </row>
    <row r="180" spans="1:15" x14ac:dyDescent="0.45">
      <c r="A180" t="s">
        <v>262</v>
      </c>
      <c r="B180" s="4">
        <v>45612</v>
      </c>
      <c r="C180" t="s">
        <v>60</v>
      </c>
      <c r="D180" t="s">
        <v>53</v>
      </c>
      <c r="E180" t="s">
        <v>23</v>
      </c>
      <c r="F180" t="str">
        <f>_xlfn.XLOOKUP(C180,Salespeople!$A$2:$A$11,Salespeople!$C$2:$C$11)</f>
        <v>APAC</v>
      </c>
      <c r="G180" t="str">
        <f>_xlfn.XLOOKUP(C180,Salespeople!$A$2:$A$11,Salespeople!$D$2:$D$11)</f>
        <v>Japan</v>
      </c>
      <c r="H180">
        <v>7</v>
      </c>
      <c r="I180" s="5">
        <f>_xlfn.XLOOKUP($D180,Products!$A$2:$A$16,Products!$D$2:$D$16)</f>
        <v>130</v>
      </c>
      <c r="J180" s="5">
        <f>_xlfn.XLOOKUP(Sales!$D180,Products!$A$2:$A$16,Products!$E$2:$E$16)</f>
        <v>62</v>
      </c>
      <c r="K180" s="8" cm="1">
        <f t="array" ref="K180">_xlfn.IFS(H180&lt;=5,0%,H180&lt;=10,5%,H180&lt;=15,10%,H180&lt;=20,15%,H180&gt;20,20%)</f>
        <v>0.05</v>
      </c>
      <c r="L180" s="5">
        <f t="shared" si="6"/>
        <v>864.5</v>
      </c>
      <c r="M180" s="5" cm="1">
        <f t="array" ref="M180">L180*_xlfn.IFS(L180&lt;=5000,0.02,L180&lt;=15000,0.04,L180&gt;15000,0.06)</f>
        <v>17.29</v>
      </c>
      <c r="N180" s="5">
        <f t="shared" si="7"/>
        <v>430.5</v>
      </c>
      <c r="O180" s="8">
        <f t="shared" si="8"/>
        <v>0.49797570850202427</v>
      </c>
    </row>
    <row r="181" spans="1:15" x14ac:dyDescent="0.45">
      <c r="A181" t="s">
        <v>263</v>
      </c>
      <c r="B181" s="4">
        <v>45573</v>
      </c>
      <c r="C181" t="s">
        <v>26</v>
      </c>
      <c r="D181" t="s">
        <v>91</v>
      </c>
      <c r="E181" t="s">
        <v>48</v>
      </c>
      <c r="F181" t="str">
        <f>_xlfn.XLOOKUP(C181,Salespeople!$A$2:$A$11,Salespeople!$C$2:$C$11)</f>
        <v>APAC</v>
      </c>
      <c r="G181" t="str">
        <f>_xlfn.XLOOKUP(C181,Salespeople!$A$2:$A$11,Salespeople!$D$2:$D$11)</f>
        <v>Singapore</v>
      </c>
      <c r="H181">
        <v>15</v>
      </c>
      <c r="I181" s="5">
        <f>_xlfn.XLOOKUP($D181,Products!$A$2:$A$16,Products!$D$2:$D$16)</f>
        <v>160</v>
      </c>
      <c r="J181" s="5">
        <f>_xlfn.XLOOKUP(Sales!$D181,Products!$A$2:$A$16,Products!$E$2:$E$16)</f>
        <v>88</v>
      </c>
      <c r="K181" s="8" cm="1">
        <f t="array" ref="K181">_xlfn.IFS(H181&lt;=5,0%,H181&lt;=10,5%,H181&lt;=15,10%,H181&lt;=20,15%,H181&gt;20,20%)</f>
        <v>0.1</v>
      </c>
      <c r="L181" s="5">
        <f t="shared" si="6"/>
        <v>2160</v>
      </c>
      <c r="M181" s="5" cm="1">
        <f t="array" ref="M181">L181*_xlfn.IFS(L181&lt;=5000,0.02,L181&lt;=15000,0.04,L181&gt;15000,0.06)</f>
        <v>43.2</v>
      </c>
      <c r="N181" s="5">
        <f t="shared" si="7"/>
        <v>840</v>
      </c>
      <c r="O181" s="8">
        <f t="shared" si="8"/>
        <v>0.3888888888888889</v>
      </c>
    </row>
    <row r="182" spans="1:15" x14ac:dyDescent="0.45">
      <c r="A182" t="s">
        <v>264</v>
      </c>
      <c r="B182" s="4">
        <v>45354</v>
      </c>
      <c r="C182" t="s">
        <v>131</v>
      </c>
      <c r="D182" t="s">
        <v>74</v>
      </c>
      <c r="E182" t="s">
        <v>14</v>
      </c>
      <c r="F182" t="str">
        <f>_xlfn.XLOOKUP(C182,Salespeople!$A$2:$A$11,Salespeople!$C$2:$C$11)</f>
        <v>EMEA</v>
      </c>
      <c r="G182" t="str">
        <f>_xlfn.XLOOKUP(C182,Salespeople!$A$2:$A$11,Salespeople!$D$2:$D$11)</f>
        <v>United Kingdom</v>
      </c>
      <c r="H182">
        <v>8</v>
      </c>
      <c r="I182" s="5">
        <f>_xlfn.XLOOKUP($D182,Products!$A$2:$A$16,Products!$D$2:$D$16)</f>
        <v>210</v>
      </c>
      <c r="J182" s="5">
        <f>_xlfn.XLOOKUP(Sales!$D182,Products!$A$2:$A$16,Products!$E$2:$E$16)</f>
        <v>120</v>
      </c>
      <c r="K182" s="8" cm="1">
        <f t="array" ref="K182">_xlfn.IFS(H182&lt;=5,0%,H182&lt;=10,5%,H182&lt;=15,10%,H182&lt;=20,15%,H182&gt;20,20%)</f>
        <v>0.05</v>
      </c>
      <c r="L182" s="5">
        <f t="shared" si="6"/>
        <v>1596</v>
      </c>
      <c r="M182" s="5" cm="1">
        <f t="array" ref="M182">L182*_xlfn.IFS(L182&lt;=5000,0.02,L182&lt;=15000,0.04,L182&gt;15000,0.06)</f>
        <v>31.92</v>
      </c>
      <c r="N182" s="5">
        <f t="shared" si="7"/>
        <v>636</v>
      </c>
      <c r="O182" s="8">
        <f t="shared" si="8"/>
        <v>0.39849624060150374</v>
      </c>
    </row>
    <row r="183" spans="1:15" x14ac:dyDescent="0.45">
      <c r="A183" t="s">
        <v>265</v>
      </c>
      <c r="B183" s="4">
        <v>45451</v>
      </c>
      <c r="C183" t="s">
        <v>38</v>
      </c>
      <c r="D183" t="s">
        <v>19</v>
      </c>
      <c r="E183" t="s">
        <v>14</v>
      </c>
      <c r="F183" t="str">
        <f>_xlfn.XLOOKUP(C183,Salespeople!$A$2:$A$11,Salespeople!$C$2:$C$11)</f>
        <v>Americas</v>
      </c>
      <c r="G183" t="str">
        <f>_xlfn.XLOOKUP(C183,Salespeople!$A$2:$A$11,Salespeople!$D$2:$D$11)</f>
        <v>Brazil</v>
      </c>
      <c r="H183">
        <v>14</v>
      </c>
      <c r="I183" s="5">
        <f>_xlfn.XLOOKUP($D183,Products!$A$2:$A$16,Products!$D$2:$D$16)</f>
        <v>25</v>
      </c>
      <c r="J183" s="5">
        <f>_xlfn.XLOOKUP(Sales!$D183,Products!$A$2:$A$16,Products!$E$2:$E$16)</f>
        <v>11</v>
      </c>
      <c r="K183" s="8" cm="1">
        <f t="array" ref="K183">_xlfn.IFS(H183&lt;=5,0%,H183&lt;=10,5%,H183&lt;=15,10%,H183&lt;=20,15%,H183&gt;20,20%)</f>
        <v>0.1</v>
      </c>
      <c r="L183" s="5">
        <f t="shared" si="6"/>
        <v>315</v>
      </c>
      <c r="M183" s="5" cm="1">
        <f t="array" ref="M183">L183*_xlfn.IFS(L183&lt;=5000,0.02,L183&lt;=15000,0.04,L183&gt;15000,0.06)</f>
        <v>6.3</v>
      </c>
      <c r="N183" s="5">
        <f t="shared" si="7"/>
        <v>161</v>
      </c>
      <c r="O183" s="8">
        <f t="shared" si="8"/>
        <v>0.51111111111111107</v>
      </c>
    </row>
    <row r="184" spans="1:15" x14ac:dyDescent="0.45">
      <c r="A184" t="s">
        <v>266</v>
      </c>
      <c r="B184" s="4">
        <v>45407</v>
      </c>
      <c r="C184" t="s">
        <v>17</v>
      </c>
      <c r="D184" t="s">
        <v>103</v>
      </c>
      <c r="E184" t="s">
        <v>23</v>
      </c>
      <c r="F184" t="str">
        <f>_xlfn.XLOOKUP(C184,Salespeople!$A$2:$A$11,Salespeople!$C$2:$C$11)</f>
        <v>EMEA</v>
      </c>
      <c r="G184" t="str">
        <f>_xlfn.XLOOKUP(C184,Salespeople!$A$2:$A$11,Salespeople!$D$2:$D$11)</f>
        <v>Portugal</v>
      </c>
      <c r="H184">
        <v>21</v>
      </c>
      <c r="I184" s="5">
        <f>_xlfn.XLOOKUP($D184,Products!$A$2:$A$16,Products!$D$2:$D$16)</f>
        <v>1150</v>
      </c>
      <c r="J184" s="5">
        <f>_xlfn.XLOOKUP(Sales!$D184,Products!$A$2:$A$16,Products!$E$2:$E$16)</f>
        <v>820</v>
      </c>
      <c r="K184" s="8" cm="1">
        <f t="array" ref="K184">_xlfn.IFS(H184&lt;=5,0%,H184&lt;=10,5%,H184&lt;=15,10%,H184&lt;=20,15%,H184&gt;20,20%)</f>
        <v>0.2</v>
      </c>
      <c r="L184" s="5">
        <f t="shared" si="6"/>
        <v>19320</v>
      </c>
      <c r="M184" s="5" cm="1">
        <f t="array" ref="M184">L184*_xlfn.IFS(L184&lt;=5000,0.02,L184&lt;=15000,0.04,L184&gt;15000,0.06)</f>
        <v>1159.2</v>
      </c>
      <c r="N184" s="5">
        <f t="shared" si="7"/>
        <v>2100</v>
      </c>
      <c r="O184" s="8">
        <f t="shared" si="8"/>
        <v>0.10869565217391304</v>
      </c>
    </row>
    <row r="185" spans="1:15" x14ac:dyDescent="0.45">
      <c r="A185" t="s">
        <v>267</v>
      </c>
      <c r="B185" s="4">
        <v>45547</v>
      </c>
      <c r="C185" t="s">
        <v>66</v>
      </c>
      <c r="D185" t="s">
        <v>62</v>
      </c>
      <c r="E185" t="s">
        <v>14</v>
      </c>
      <c r="F185" t="str">
        <f>_xlfn.XLOOKUP(C185,Salespeople!$A$2:$A$11,Salespeople!$C$2:$C$11)</f>
        <v>Americas</v>
      </c>
      <c r="G185" t="str">
        <f>_xlfn.XLOOKUP(C185,Salespeople!$A$2:$A$11,Salespeople!$D$2:$D$11)</f>
        <v>United States</v>
      </c>
      <c r="H185">
        <v>9</v>
      </c>
      <c r="I185" s="5">
        <f>_xlfn.XLOOKUP($D185,Products!$A$2:$A$16,Products!$D$2:$D$16)</f>
        <v>1750</v>
      </c>
      <c r="J185" s="5">
        <f>_xlfn.XLOOKUP(Sales!$D185,Products!$A$2:$A$16,Products!$E$2:$E$16)</f>
        <v>1300</v>
      </c>
      <c r="K185" s="8" cm="1">
        <f t="array" ref="K185">_xlfn.IFS(H185&lt;=5,0%,H185&lt;=10,5%,H185&lt;=15,10%,H185&lt;=20,15%,H185&gt;20,20%)</f>
        <v>0.05</v>
      </c>
      <c r="L185" s="5">
        <f t="shared" si="6"/>
        <v>14962.5</v>
      </c>
      <c r="M185" s="5" cm="1">
        <f t="array" ref="M185">L185*_xlfn.IFS(L185&lt;=5000,0.02,L185&lt;=15000,0.04,L185&gt;15000,0.06)</f>
        <v>598.5</v>
      </c>
      <c r="N185" s="5">
        <f t="shared" si="7"/>
        <v>3262.5</v>
      </c>
      <c r="O185" s="8">
        <f t="shared" si="8"/>
        <v>0.21804511278195488</v>
      </c>
    </row>
    <row r="186" spans="1:15" x14ac:dyDescent="0.45">
      <c r="A186" t="s">
        <v>268</v>
      </c>
      <c r="B186" s="4">
        <v>45539</v>
      </c>
      <c r="C186" t="s">
        <v>60</v>
      </c>
      <c r="D186" t="s">
        <v>88</v>
      </c>
      <c r="E186" t="s">
        <v>48</v>
      </c>
      <c r="F186" t="str">
        <f>_xlfn.XLOOKUP(C186,Salespeople!$A$2:$A$11,Salespeople!$C$2:$C$11)</f>
        <v>APAC</v>
      </c>
      <c r="G186" t="str">
        <f>_xlfn.XLOOKUP(C186,Salespeople!$A$2:$A$11,Salespeople!$D$2:$D$11)</f>
        <v>Japan</v>
      </c>
      <c r="H186">
        <v>18</v>
      </c>
      <c r="I186" s="5">
        <f>_xlfn.XLOOKUP($D186,Products!$A$2:$A$16,Products!$D$2:$D$16)</f>
        <v>35</v>
      </c>
      <c r="J186" s="5">
        <f>_xlfn.XLOOKUP(Sales!$D186,Products!$A$2:$A$16,Products!$E$2:$E$16)</f>
        <v>14</v>
      </c>
      <c r="K186" s="8" cm="1">
        <f t="array" ref="K186">_xlfn.IFS(H186&lt;=5,0%,H186&lt;=10,5%,H186&lt;=15,10%,H186&lt;=20,15%,H186&gt;20,20%)</f>
        <v>0.15</v>
      </c>
      <c r="L186" s="5">
        <f t="shared" si="6"/>
        <v>535.5</v>
      </c>
      <c r="M186" s="5" cm="1">
        <f t="array" ref="M186">L186*_xlfn.IFS(L186&lt;=5000,0.02,L186&lt;=15000,0.04,L186&gt;15000,0.06)</f>
        <v>10.71</v>
      </c>
      <c r="N186" s="5">
        <f t="shared" si="7"/>
        <v>283.5</v>
      </c>
      <c r="O186" s="8">
        <f t="shared" si="8"/>
        <v>0.52941176470588236</v>
      </c>
    </row>
    <row r="187" spans="1:15" x14ac:dyDescent="0.45">
      <c r="A187" t="s">
        <v>269</v>
      </c>
      <c r="B187" s="4">
        <v>45488</v>
      </c>
      <c r="C187" t="s">
        <v>51</v>
      </c>
      <c r="D187" t="s">
        <v>91</v>
      </c>
      <c r="E187" t="s">
        <v>14</v>
      </c>
      <c r="F187" t="str">
        <f>_xlfn.XLOOKUP(C187,Salespeople!$A$2:$A$11,Salespeople!$C$2:$C$11)</f>
        <v>Americas</v>
      </c>
      <c r="G187" t="str">
        <f>_xlfn.XLOOKUP(C187,Salespeople!$A$2:$A$11,Salespeople!$D$2:$D$11)</f>
        <v>Mexico</v>
      </c>
      <c r="H187">
        <v>17</v>
      </c>
      <c r="I187" s="5">
        <f>_xlfn.XLOOKUP($D187,Products!$A$2:$A$16,Products!$D$2:$D$16)</f>
        <v>160</v>
      </c>
      <c r="J187" s="5">
        <f>_xlfn.XLOOKUP(Sales!$D187,Products!$A$2:$A$16,Products!$E$2:$E$16)</f>
        <v>88</v>
      </c>
      <c r="K187" s="8" cm="1">
        <f t="array" ref="K187">_xlfn.IFS(H187&lt;=5,0%,H187&lt;=10,5%,H187&lt;=15,10%,H187&lt;=20,15%,H187&gt;20,20%)</f>
        <v>0.15</v>
      </c>
      <c r="L187" s="5">
        <f t="shared" si="6"/>
        <v>2312</v>
      </c>
      <c r="M187" s="5" cm="1">
        <f t="array" ref="M187">L187*_xlfn.IFS(L187&lt;=5000,0.02,L187&lt;=15000,0.04,L187&gt;15000,0.06)</f>
        <v>46.24</v>
      </c>
      <c r="N187" s="5">
        <f t="shared" si="7"/>
        <v>816</v>
      </c>
      <c r="O187" s="8">
        <f t="shared" si="8"/>
        <v>0.35294117647058826</v>
      </c>
    </row>
    <row r="188" spans="1:15" x14ac:dyDescent="0.45">
      <c r="A188" t="s">
        <v>270</v>
      </c>
      <c r="B188" s="4">
        <v>45327</v>
      </c>
      <c r="C188" t="s">
        <v>66</v>
      </c>
      <c r="D188" t="s">
        <v>53</v>
      </c>
      <c r="E188" t="s">
        <v>48</v>
      </c>
      <c r="F188" t="str">
        <f>_xlfn.XLOOKUP(C188,Salespeople!$A$2:$A$11,Salespeople!$C$2:$C$11)</f>
        <v>Americas</v>
      </c>
      <c r="G188" t="str">
        <f>_xlfn.XLOOKUP(C188,Salespeople!$A$2:$A$11,Salespeople!$D$2:$D$11)</f>
        <v>United States</v>
      </c>
      <c r="H188">
        <v>11</v>
      </c>
      <c r="I188" s="5">
        <f>_xlfn.XLOOKUP($D188,Products!$A$2:$A$16,Products!$D$2:$D$16)</f>
        <v>130</v>
      </c>
      <c r="J188" s="5">
        <f>_xlfn.XLOOKUP(Sales!$D188,Products!$A$2:$A$16,Products!$E$2:$E$16)</f>
        <v>62</v>
      </c>
      <c r="K188" s="8" cm="1">
        <f t="array" ref="K188">_xlfn.IFS(H188&lt;=5,0%,H188&lt;=10,5%,H188&lt;=15,10%,H188&lt;=20,15%,H188&gt;20,20%)</f>
        <v>0.1</v>
      </c>
      <c r="L188" s="5">
        <f t="shared" si="6"/>
        <v>1287</v>
      </c>
      <c r="M188" s="5" cm="1">
        <f t="array" ref="M188">L188*_xlfn.IFS(L188&lt;=5000,0.02,L188&lt;=15000,0.04,L188&gt;15000,0.06)</f>
        <v>25.740000000000002</v>
      </c>
      <c r="N188" s="5">
        <f t="shared" si="7"/>
        <v>605</v>
      </c>
      <c r="O188" s="8">
        <f t="shared" si="8"/>
        <v>0.47008547008547008</v>
      </c>
    </row>
    <row r="189" spans="1:15" x14ac:dyDescent="0.45">
      <c r="A189" t="s">
        <v>271</v>
      </c>
      <c r="B189" s="4">
        <v>45293</v>
      </c>
      <c r="C189" t="s">
        <v>66</v>
      </c>
      <c r="D189" t="s">
        <v>28</v>
      </c>
      <c r="E189" t="s">
        <v>48</v>
      </c>
      <c r="F189" t="str">
        <f>_xlfn.XLOOKUP(C189,Salespeople!$A$2:$A$11,Salespeople!$C$2:$C$11)</f>
        <v>Americas</v>
      </c>
      <c r="G189" t="str">
        <f>_xlfn.XLOOKUP(C189,Salespeople!$A$2:$A$11,Salespeople!$D$2:$D$11)</f>
        <v>United States</v>
      </c>
      <c r="H189">
        <v>19</v>
      </c>
      <c r="I189" s="5">
        <f>_xlfn.XLOOKUP($D189,Products!$A$2:$A$16,Products!$D$2:$D$16)</f>
        <v>95</v>
      </c>
      <c r="J189" s="5">
        <f>_xlfn.XLOOKUP(Sales!$D189,Products!$A$2:$A$16,Products!$E$2:$E$16)</f>
        <v>44</v>
      </c>
      <c r="K189" s="8" cm="1">
        <f t="array" ref="K189">_xlfn.IFS(H189&lt;=5,0%,H189&lt;=10,5%,H189&lt;=15,10%,H189&lt;=20,15%,H189&gt;20,20%)</f>
        <v>0.15</v>
      </c>
      <c r="L189" s="5">
        <f t="shared" si="6"/>
        <v>1534.25</v>
      </c>
      <c r="M189" s="5" cm="1">
        <f t="array" ref="M189">L189*_xlfn.IFS(L189&lt;=5000,0.02,L189&lt;=15000,0.04,L189&gt;15000,0.06)</f>
        <v>30.685000000000002</v>
      </c>
      <c r="N189" s="5">
        <f t="shared" si="7"/>
        <v>698.25</v>
      </c>
      <c r="O189" s="8">
        <f t="shared" si="8"/>
        <v>0.45510835913312692</v>
      </c>
    </row>
    <row r="190" spans="1:15" x14ac:dyDescent="0.45">
      <c r="A190" t="s">
        <v>272</v>
      </c>
      <c r="B190" s="4">
        <v>45368</v>
      </c>
      <c r="C190" t="s">
        <v>60</v>
      </c>
      <c r="D190" t="s">
        <v>62</v>
      </c>
      <c r="E190" t="s">
        <v>48</v>
      </c>
      <c r="F190" t="str">
        <f>_xlfn.XLOOKUP(C190,Salespeople!$A$2:$A$11,Salespeople!$C$2:$C$11)</f>
        <v>APAC</v>
      </c>
      <c r="G190" t="str">
        <f>_xlfn.XLOOKUP(C190,Salespeople!$A$2:$A$11,Salespeople!$D$2:$D$11)</f>
        <v>Japan</v>
      </c>
      <c r="H190">
        <v>12</v>
      </c>
      <c r="I190" s="5">
        <f>_xlfn.XLOOKUP($D190,Products!$A$2:$A$16,Products!$D$2:$D$16)</f>
        <v>1750</v>
      </c>
      <c r="J190" s="5">
        <f>_xlfn.XLOOKUP(Sales!$D190,Products!$A$2:$A$16,Products!$E$2:$E$16)</f>
        <v>1300</v>
      </c>
      <c r="K190" s="8" cm="1">
        <f t="array" ref="K190">_xlfn.IFS(H190&lt;=5,0%,H190&lt;=10,5%,H190&lt;=15,10%,H190&lt;=20,15%,H190&gt;20,20%)</f>
        <v>0.1</v>
      </c>
      <c r="L190" s="5">
        <f t="shared" si="6"/>
        <v>18900</v>
      </c>
      <c r="M190" s="5" cm="1">
        <f t="array" ref="M190">L190*_xlfn.IFS(L190&lt;=5000,0.02,L190&lt;=15000,0.04,L190&gt;15000,0.06)</f>
        <v>1134</v>
      </c>
      <c r="N190" s="5">
        <f t="shared" si="7"/>
        <v>3300</v>
      </c>
      <c r="O190" s="8">
        <f t="shared" si="8"/>
        <v>0.17460317460317459</v>
      </c>
    </row>
    <row r="191" spans="1:15" x14ac:dyDescent="0.45">
      <c r="A191" t="s">
        <v>273</v>
      </c>
      <c r="B191" s="4">
        <v>45574</v>
      </c>
      <c r="C191" t="s">
        <v>38</v>
      </c>
      <c r="D191" t="s">
        <v>44</v>
      </c>
      <c r="E191" t="s">
        <v>48</v>
      </c>
      <c r="F191" t="str">
        <f>_xlfn.XLOOKUP(C191,Salespeople!$A$2:$A$11,Salespeople!$C$2:$C$11)</f>
        <v>Americas</v>
      </c>
      <c r="G191" t="str">
        <f>_xlfn.XLOOKUP(C191,Salespeople!$A$2:$A$11,Salespeople!$D$2:$D$11)</f>
        <v>Brazil</v>
      </c>
      <c r="H191">
        <v>11</v>
      </c>
      <c r="I191" s="5">
        <f>_xlfn.XLOOKUP($D191,Products!$A$2:$A$16,Products!$D$2:$D$16)</f>
        <v>180</v>
      </c>
      <c r="J191" s="5">
        <f>_xlfn.XLOOKUP(Sales!$D191,Products!$A$2:$A$16,Products!$E$2:$E$16)</f>
        <v>105</v>
      </c>
      <c r="K191" s="8" cm="1">
        <f t="array" ref="K191">_xlfn.IFS(H191&lt;=5,0%,H191&lt;=10,5%,H191&lt;=15,10%,H191&lt;=20,15%,H191&gt;20,20%)</f>
        <v>0.1</v>
      </c>
      <c r="L191" s="5">
        <f t="shared" si="6"/>
        <v>1782</v>
      </c>
      <c r="M191" s="5" cm="1">
        <f t="array" ref="M191">L191*_xlfn.IFS(L191&lt;=5000,0.02,L191&lt;=15000,0.04,L191&gt;15000,0.06)</f>
        <v>35.64</v>
      </c>
      <c r="N191" s="5">
        <f t="shared" si="7"/>
        <v>627</v>
      </c>
      <c r="O191" s="8">
        <f t="shared" si="8"/>
        <v>0.35185185185185186</v>
      </c>
    </row>
    <row r="192" spans="1:15" x14ac:dyDescent="0.45">
      <c r="A192" t="s">
        <v>274</v>
      </c>
      <c r="B192" s="4">
        <v>45649</v>
      </c>
      <c r="C192" t="s">
        <v>51</v>
      </c>
      <c r="D192" t="s">
        <v>40</v>
      </c>
      <c r="E192" t="s">
        <v>48</v>
      </c>
      <c r="F192" t="str">
        <f>_xlfn.XLOOKUP(C192,Salespeople!$A$2:$A$11,Salespeople!$C$2:$C$11)</f>
        <v>Americas</v>
      </c>
      <c r="G192" t="str">
        <f>_xlfn.XLOOKUP(C192,Salespeople!$A$2:$A$11,Salespeople!$D$2:$D$11)</f>
        <v>Mexico</v>
      </c>
      <c r="H192">
        <v>8</v>
      </c>
      <c r="I192" s="5">
        <f>_xlfn.XLOOKUP($D192,Products!$A$2:$A$16,Products!$D$2:$D$16)</f>
        <v>1050</v>
      </c>
      <c r="J192" s="5">
        <f>_xlfn.XLOOKUP(Sales!$D192,Products!$A$2:$A$16,Products!$E$2:$E$16)</f>
        <v>760</v>
      </c>
      <c r="K192" s="8" cm="1">
        <f t="array" ref="K192">_xlfn.IFS(H192&lt;=5,0%,H192&lt;=10,5%,H192&lt;=15,10%,H192&lt;=20,15%,H192&gt;20,20%)</f>
        <v>0.05</v>
      </c>
      <c r="L192" s="5">
        <f t="shared" si="6"/>
        <v>7980</v>
      </c>
      <c r="M192" s="5" cm="1">
        <f t="array" ref="M192">L192*_xlfn.IFS(L192&lt;=5000,0.02,L192&lt;=15000,0.04,L192&gt;15000,0.06)</f>
        <v>319.2</v>
      </c>
      <c r="N192" s="5">
        <f t="shared" si="7"/>
        <v>1900</v>
      </c>
      <c r="O192" s="8">
        <f t="shared" si="8"/>
        <v>0.23809523809523808</v>
      </c>
    </row>
    <row r="193" spans="1:15" x14ac:dyDescent="0.45">
      <c r="A193" t="s">
        <v>275</v>
      </c>
      <c r="B193" s="4">
        <v>45314</v>
      </c>
      <c r="C193" t="s">
        <v>83</v>
      </c>
      <c r="D193" t="s">
        <v>28</v>
      </c>
      <c r="E193" t="s">
        <v>48</v>
      </c>
      <c r="F193" t="str">
        <f>_xlfn.XLOOKUP(C193,Salespeople!$A$2:$A$11,Salespeople!$C$2:$C$11)</f>
        <v>EMEA</v>
      </c>
      <c r="G193" t="str">
        <f>_xlfn.XLOOKUP(C193,Salespeople!$A$2:$A$11,Salespeople!$D$2:$D$11)</f>
        <v>United Arab Emirates</v>
      </c>
      <c r="H193">
        <v>23</v>
      </c>
      <c r="I193" s="5">
        <f>_xlfn.XLOOKUP($D193,Products!$A$2:$A$16,Products!$D$2:$D$16)</f>
        <v>95</v>
      </c>
      <c r="J193" s="5">
        <f>_xlfn.XLOOKUP(Sales!$D193,Products!$A$2:$A$16,Products!$E$2:$E$16)</f>
        <v>44</v>
      </c>
      <c r="K193" s="8" cm="1">
        <f t="array" ref="K193">_xlfn.IFS(H193&lt;=5,0%,H193&lt;=10,5%,H193&lt;=15,10%,H193&lt;=20,15%,H193&gt;20,20%)</f>
        <v>0.2</v>
      </c>
      <c r="L193" s="5">
        <f t="shared" si="6"/>
        <v>1748</v>
      </c>
      <c r="M193" s="5" cm="1">
        <f t="array" ref="M193">L193*_xlfn.IFS(L193&lt;=5000,0.02,L193&lt;=15000,0.04,L193&gt;15000,0.06)</f>
        <v>34.96</v>
      </c>
      <c r="N193" s="5">
        <f t="shared" si="7"/>
        <v>736</v>
      </c>
      <c r="O193" s="8">
        <f t="shared" si="8"/>
        <v>0.42105263157894735</v>
      </c>
    </row>
    <row r="194" spans="1:15" x14ac:dyDescent="0.45">
      <c r="A194" t="s">
        <v>276</v>
      </c>
      <c r="B194" s="4">
        <v>45489</v>
      </c>
      <c r="C194" t="s">
        <v>26</v>
      </c>
      <c r="D194" t="s">
        <v>103</v>
      </c>
      <c r="E194" t="s">
        <v>23</v>
      </c>
      <c r="F194" t="str">
        <f>_xlfn.XLOOKUP(C194,Salespeople!$A$2:$A$11,Salespeople!$C$2:$C$11)</f>
        <v>APAC</v>
      </c>
      <c r="G194" t="str">
        <f>_xlfn.XLOOKUP(C194,Salespeople!$A$2:$A$11,Salespeople!$D$2:$D$11)</f>
        <v>Singapore</v>
      </c>
      <c r="H194">
        <v>5</v>
      </c>
      <c r="I194" s="5">
        <f>_xlfn.XLOOKUP($D194,Products!$A$2:$A$16,Products!$D$2:$D$16)</f>
        <v>1150</v>
      </c>
      <c r="J194" s="5">
        <f>_xlfn.XLOOKUP(Sales!$D194,Products!$A$2:$A$16,Products!$E$2:$E$16)</f>
        <v>820</v>
      </c>
      <c r="K194" s="8" cm="1">
        <f t="array" ref="K194">_xlfn.IFS(H194&lt;=5,0%,H194&lt;=10,5%,H194&lt;=15,10%,H194&lt;=20,15%,H194&gt;20,20%)</f>
        <v>0</v>
      </c>
      <c r="L194" s="5">
        <f t="shared" si="6"/>
        <v>5750</v>
      </c>
      <c r="M194" s="5" cm="1">
        <f t="array" ref="M194">L194*_xlfn.IFS(L194&lt;=5000,0.02,L194&lt;=15000,0.04,L194&gt;15000,0.06)</f>
        <v>230</v>
      </c>
      <c r="N194" s="5">
        <f t="shared" si="7"/>
        <v>1650</v>
      </c>
      <c r="O194" s="8">
        <f t="shared" si="8"/>
        <v>0.28695652173913044</v>
      </c>
    </row>
    <row r="195" spans="1:15" x14ac:dyDescent="0.45">
      <c r="A195" t="s">
        <v>277</v>
      </c>
      <c r="B195" s="4">
        <v>45343</v>
      </c>
      <c r="C195" t="s">
        <v>60</v>
      </c>
      <c r="D195" t="s">
        <v>134</v>
      </c>
      <c r="E195" t="s">
        <v>14</v>
      </c>
      <c r="F195" t="str">
        <f>_xlfn.XLOOKUP(C195,Salespeople!$A$2:$A$11,Salespeople!$C$2:$C$11)</f>
        <v>APAC</v>
      </c>
      <c r="G195" t="str">
        <f>_xlfn.XLOOKUP(C195,Salespeople!$A$2:$A$11,Salespeople!$D$2:$D$11)</f>
        <v>Japan</v>
      </c>
      <c r="H195">
        <v>15</v>
      </c>
      <c r="I195" s="5">
        <f>_xlfn.XLOOKUP($D195,Products!$A$2:$A$16,Products!$D$2:$D$16)</f>
        <v>79</v>
      </c>
      <c r="J195" s="5">
        <f>_xlfn.XLOOKUP(Sales!$D195,Products!$A$2:$A$16,Products!$E$2:$E$16)</f>
        <v>38</v>
      </c>
      <c r="K195" s="8" cm="1">
        <f t="array" ref="K195">_xlfn.IFS(H195&lt;=5,0%,H195&lt;=10,5%,H195&lt;=15,10%,H195&lt;=20,15%,H195&gt;20,20%)</f>
        <v>0.1</v>
      </c>
      <c r="L195" s="5">
        <f t="shared" ref="L195:L201" si="9">H195*I195*(1-K195)</f>
        <v>1066.5</v>
      </c>
      <c r="M195" s="5" cm="1">
        <f t="array" ref="M195">L195*_xlfn.IFS(L195&lt;=5000,0.02,L195&lt;=15000,0.04,L195&gt;15000,0.06)</f>
        <v>21.330000000000002</v>
      </c>
      <c r="N195" s="5">
        <f t="shared" ref="N195:N201" si="10">L195-(H195*J195)</f>
        <v>496.5</v>
      </c>
      <c r="O195" s="8">
        <f t="shared" ref="O195:O201" si="11">N195/L195</f>
        <v>0.46554149085794655</v>
      </c>
    </row>
    <row r="196" spans="1:15" x14ac:dyDescent="0.45">
      <c r="A196" t="s">
        <v>278</v>
      </c>
      <c r="B196" s="4">
        <v>45365</v>
      </c>
      <c r="C196" t="s">
        <v>33</v>
      </c>
      <c r="D196" t="s">
        <v>68</v>
      </c>
      <c r="E196" t="s">
        <v>14</v>
      </c>
      <c r="F196" t="str">
        <f>_xlfn.XLOOKUP(C196,Salespeople!$A$2:$A$11,Salespeople!$C$2:$C$11)</f>
        <v>EMEA</v>
      </c>
      <c r="G196" t="str">
        <f>_xlfn.XLOOKUP(C196,Salespeople!$A$2:$A$11,Salespeople!$D$2:$D$11)</f>
        <v>Kenya</v>
      </c>
      <c r="H196">
        <v>5</v>
      </c>
      <c r="I196" s="5">
        <f>_xlfn.XLOOKUP($D196,Products!$A$2:$A$16,Products!$D$2:$D$16)</f>
        <v>110</v>
      </c>
      <c r="J196" s="5">
        <f>_xlfn.XLOOKUP(Sales!$D196,Products!$A$2:$A$16,Products!$E$2:$E$16)</f>
        <v>55</v>
      </c>
      <c r="K196" s="8" cm="1">
        <f t="array" ref="K196">_xlfn.IFS(H196&lt;=5,0%,H196&lt;=10,5%,H196&lt;=15,10%,H196&lt;=20,15%,H196&gt;20,20%)</f>
        <v>0</v>
      </c>
      <c r="L196" s="5">
        <f t="shared" si="9"/>
        <v>550</v>
      </c>
      <c r="M196" s="5" cm="1">
        <f t="array" ref="M196">L196*_xlfn.IFS(L196&lt;=5000,0.02,L196&lt;=15000,0.04,L196&gt;15000,0.06)</f>
        <v>11</v>
      </c>
      <c r="N196" s="5">
        <f t="shared" si="10"/>
        <v>275</v>
      </c>
      <c r="O196" s="8">
        <f t="shared" si="11"/>
        <v>0.5</v>
      </c>
    </row>
    <row r="197" spans="1:15" x14ac:dyDescent="0.45">
      <c r="A197" t="s">
        <v>279</v>
      </c>
      <c r="B197" s="4">
        <v>45532</v>
      </c>
      <c r="C197" t="s">
        <v>66</v>
      </c>
      <c r="D197" t="s">
        <v>56</v>
      </c>
      <c r="E197" t="s">
        <v>14</v>
      </c>
      <c r="F197" t="str">
        <f>_xlfn.XLOOKUP(C197,Salespeople!$A$2:$A$11,Salespeople!$C$2:$C$11)</f>
        <v>Americas</v>
      </c>
      <c r="G197" t="str">
        <f>_xlfn.XLOOKUP(C197,Salespeople!$A$2:$A$11,Salespeople!$D$2:$D$11)</f>
        <v>United States</v>
      </c>
      <c r="H197">
        <v>23</v>
      </c>
      <c r="I197" s="5">
        <f>_xlfn.XLOOKUP($D197,Products!$A$2:$A$16,Products!$D$2:$D$16)</f>
        <v>520</v>
      </c>
      <c r="J197" s="5">
        <f>_xlfn.XLOOKUP(Sales!$D197,Products!$A$2:$A$16,Products!$E$2:$E$16)</f>
        <v>360</v>
      </c>
      <c r="K197" s="8" cm="1">
        <f t="array" ref="K197">_xlfn.IFS(H197&lt;=5,0%,H197&lt;=10,5%,H197&lt;=15,10%,H197&lt;=20,15%,H197&gt;20,20%)</f>
        <v>0.2</v>
      </c>
      <c r="L197" s="5">
        <f t="shared" si="9"/>
        <v>9568</v>
      </c>
      <c r="M197" s="5" cm="1">
        <f t="array" ref="M197">L197*_xlfn.IFS(L197&lt;=5000,0.02,L197&lt;=15000,0.04,L197&gt;15000,0.06)</f>
        <v>382.72</v>
      </c>
      <c r="N197" s="5">
        <f t="shared" si="10"/>
        <v>1288</v>
      </c>
      <c r="O197" s="8">
        <f t="shared" si="11"/>
        <v>0.13461538461538461</v>
      </c>
    </row>
    <row r="198" spans="1:15" x14ac:dyDescent="0.45">
      <c r="A198" t="s">
        <v>280</v>
      </c>
      <c r="B198" s="4">
        <v>45624</v>
      </c>
      <c r="C198" t="s">
        <v>17</v>
      </c>
      <c r="D198" t="s">
        <v>68</v>
      </c>
      <c r="E198" t="s">
        <v>48</v>
      </c>
      <c r="F198" t="str">
        <f>_xlfn.XLOOKUP(C198,Salespeople!$A$2:$A$11,Salespeople!$C$2:$C$11)</f>
        <v>EMEA</v>
      </c>
      <c r="G198" t="str">
        <f>_xlfn.XLOOKUP(C198,Salespeople!$A$2:$A$11,Salespeople!$D$2:$D$11)</f>
        <v>Portugal</v>
      </c>
      <c r="H198">
        <v>22</v>
      </c>
      <c r="I198" s="5">
        <f>_xlfn.XLOOKUP($D198,Products!$A$2:$A$16,Products!$D$2:$D$16)</f>
        <v>110</v>
      </c>
      <c r="J198" s="5">
        <f>_xlfn.XLOOKUP(Sales!$D198,Products!$A$2:$A$16,Products!$E$2:$E$16)</f>
        <v>55</v>
      </c>
      <c r="K198" s="8" cm="1">
        <f t="array" ref="K198">_xlfn.IFS(H198&lt;=5,0%,H198&lt;=10,5%,H198&lt;=15,10%,H198&lt;=20,15%,H198&gt;20,20%)</f>
        <v>0.2</v>
      </c>
      <c r="L198" s="5">
        <f t="shared" si="9"/>
        <v>1936</v>
      </c>
      <c r="M198" s="5" cm="1">
        <f t="array" ref="M198">L198*_xlfn.IFS(L198&lt;=5000,0.02,L198&lt;=15000,0.04,L198&gt;15000,0.06)</f>
        <v>38.72</v>
      </c>
      <c r="N198" s="5">
        <f t="shared" si="10"/>
        <v>726</v>
      </c>
      <c r="O198" s="8">
        <f t="shared" si="11"/>
        <v>0.375</v>
      </c>
    </row>
    <row r="199" spans="1:15" x14ac:dyDescent="0.45">
      <c r="A199" t="s">
        <v>281</v>
      </c>
      <c r="B199" s="4">
        <v>45454</v>
      </c>
      <c r="C199" t="s">
        <v>60</v>
      </c>
      <c r="D199" t="s">
        <v>68</v>
      </c>
      <c r="E199" t="s">
        <v>14</v>
      </c>
      <c r="F199" t="str">
        <f>_xlfn.XLOOKUP(C199,Salespeople!$A$2:$A$11,Salespeople!$C$2:$C$11)</f>
        <v>APAC</v>
      </c>
      <c r="G199" t="str">
        <f>_xlfn.XLOOKUP(C199,Salespeople!$A$2:$A$11,Salespeople!$D$2:$D$11)</f>
        <v>Japan</v>
      </c>
      <c r="H199">
        <v>2</v>
      </c>
      <c r="I199" s="5">
        <f>_xlfn.XLOOKUP($D199,Products!$A$2:$A$16,Products!$D$2:$D$16)</f>
        <v>110</v>
      </c>
      <c r="J199" s="5">
        <f>_xlfn.XLOOKUP(Sales!$D199,Products!$A$2:$A$16,Products!$E$2:$E$16)</f>
        <v>55</v>
      </c>
      <c r="K199" s="8" cm="1">
        <f t="array" ref="K199">_xlfn.IFS(H199&lt;=5,0%,H199&lt;=10,5%,H199&lt;=15,10%,H199&lt;=20,15%,H199&gt;20,20%)</f>
        <v>0</v>
      </c>
      <c r="L199" s="5">
        <f t="shared" si="9"/>
        <v>220</v>
      </c>
      <c r="M199" s="5" cm="1">
        <f t="array" ref="M199">L199*_xlfn.IFS(L199&lt;=5000,0.02,L199&lt;=15000,0.04,L199&gt;15000,0.06)</f>
        <v>4.4000000000000004</v>
      </c>
      <c r="N199" s="5">
        <f t="shared" si="10"/>
        <v>110</v>
      </c>
      <c r="O199" s="8">
        <f t="shared" si="11"/>
        <v>0.5</v>
      </c>
    </row>
    <row r="200" spans="1:15" x14ac:dyDescent="0.45">
      <c r="A200" t="s">
        <v>282</v>
      </c>
      <c r="B200" s="4">
        <v>45412</v>
      </c>
      <c r="C200" t="s">
        <v>66</v>
      </c>
      <c r="D200" t="s">
        <v>88</v>
      </c>
      <c r="E200" t="s">
        <v>14</v>
      </c>
      <c r="F200" t="str">
        <f>_xlfn.XLOOKUP(C200,Salespeople!$A$2:$A$11,Salespeople!$C$2:$C$11)</f>
        <v>Americas</v>
      </c>
      <c r="G200" t="str">
        <f>_xlfn.XLOOKUP(C200,Salespeople!$A$2:$A$11,Salespeople!$D$2:$D$11)</f>
        <v>United States</v>
      </c>
      <c r="H200">
        <v>3</v>
      </c>
      <c r="I200" s="5">
        <f>_xlfn.XLOOKUP($D200,Products!$A$2:$A$16,Products!$D$2:$D$16)</f>
        <v>35</v>
      </c>
      <c r="J200" s="5">
        <f>_xlfn.XLOOKUP(Sales!$D200,Products!$A$2:$A$16,Products!$E$2:$E$16)</f>
        <v>14</v>
      </c>
      <c r="K200" s="8" cm="1">
        <f t="array" ref="K200">_xlfn.IFS(H200&lt;=5,0%,H200&lt;=10,5%,H200&lt;=15,10%,H200&lt;=20,15%,H200&gt;20,20%)</f>
        <v>0</v>
      </c>
      <c r="L200" s="5">
        <f t="shared" si="9"/>
        <v>105</v>
      </c>
      <c r="M200" s="5" cm="1">
        <f t="array" ref="M200">L200*_xlfn.IFS(L200&lt;=5000,0.02,L200&lt;=15000,0.04,L200&gt;15000,0.06)</f>
        <v>2.1</v>
      </c>
      <c r="N200" s="5">
        <f t="shared" si="10"/>
        <v>63</v>
      </c>
      <c r="O200" s="8">
        <f t="shared" si="11"/>
        <v>0.6</v>
      </c>
    </row>
    <row r="201" spans="1:15" x14ac:dyDescent="0.45">
      <c r="A201" t="s">
        <v>283</v>
      </c>
      <c r="B201" s="4">
        <v>45342</v>
      </c>
      <c r="C201" t="s">
        <v>17</v>
      </c>
      <c r="D201" t="s">
        <v>103</v>
      </c>
      <c r="E201" t="s">
        <v>23</v>
      </c>
      <c r="F201" t="str">
        <f>_xlfn.XLOOKUP(C201,Salespeople!$A$2:$A$11,Salespeople!$C$2:$C$11)</f>
        <v>EMEA</v>
      </c>
      <c r="G201" t="str">
        <f>_xlfn.XLOOKUP(C201,Salespeople!$A$2:$A$11,Salespeople!$D$2:$D$11)</f>
        <v>Portugal</v>
      </c>
      <c r="H201">
        <v>23</v>
      </c>
      <c r="I201" s="5">
        <f>_xlfn.XLOOKUP($D201,Products!$A$2:$A$16,Products!$D$2:$D$16)</f>
        <v>1150</v>
      </c>
      <c r="J201" s="5">
        <f>_xlfn.XLOOKUP(Sales!$D201,Products!$A$2:$A$16,Products!$E$2:$E$16)</f>
        <v>820</v>
      </c>
      <c r="K201" s="8" cm="1">
        <f t="array" ref="K201">_xlfn.IFS(H201&lt;=5,0%,H201&lt;=10,5%,H201&lt;=15,10%,H201&lt;=20,15%,H201&gt;20,20%)</f>
        <v>0.2</v>
      </c>
      <c r="L201" s="5">
        <f t="shared" si="9"/>
        <v>21160</v>
      </c>
      <c r="M201" s="5" cm="1">
        <f t="array" ref="M201">L201*_xlfn.IFS(L201&lt;=5000,0.02,L201&lt;=15000,0.04,L201&gt;15000,0.06)</f>
        <v>1269.5999999999999</v>
      </c>
      <c r="N201" s="5">
        <f t="shared" si="10"/>
        <v>2300</v>
      </c>
      <c r="O201" s="8">
        <f t="shared" si="11"/>
        <v>0.10869565217391304</v>
      </c>
    </row>
    <row r="202" spans="1:15" x14ac:dyDescent="0.45">
      <c r="L202" s="5">
        <f>SUM(L2:L201)</f>
        <v>1058838.55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pane ySplit="1" topLeftCell="A2" activePane="bottomLeft" state="frozen"/>
      <selection activeCell="R25" sqref="R25"/>
      <selection pane="bottomLeft" activeCell="B31" sqref="B31"/>
    </sheetView>
  </sheetViews>
  <sheetFormatPr defaultRowHeight="14.25" x14ac:dyDescent="0.45"/>
  <cols>
    <col min="1" max="1" width="11.86328125" customWidth="1"/>
    <col min="2" max="2" width="22" customWidth="1"/>
    <col min="3" max="3" width="13" customWidth="1"/>
    <col min="4" max="4" width="11.3984375" style="5" customWidth="1"/>
    <col min="5" max="5" width="10.86328125" style="5" customWidth="1"/>
  </cols>
  <sheetData>
    <row r="1" spans="1:5" s="1" customFormat="1" x14ac:dyDescent="0.45">
      <c r="A1" s="1" t="s">
        <v>7</v>
      </c>
      <c r="B1" s="1" t="s">
        <v>8</v>
      </c>
      <c r="C1" s="1" t="s">
        <v>9</v>
      </c>
      <c r="D1" s="1" t="s">
        <v>11</v>
      </c>
      <c r="E1" s="1" t="s">
        <v>12</v>
      </c>
    </row>
    <row r="2" spans="1:5" x14ac:dyDescent="0.45">
      <c r="A2" t="s">
        <v>19</v>
      </c>
      <c r="B2" t="s">
        <v>20</v>
      </c>
      <c r="C2" t="s">
        <v>21</v>
      </c>
      <c r="D2" s="5">
        <v>25</v>
      </c>
      <c r="E2" s="5">
        <v>11</v>
      </c>
    </row>
    <row r="3" spans="1:5" x14ac:dyDescent="0.45">
      <c r="A3" t="s">
        <v>134</v>
      </c>
      <c r="B3" t="s">
        <v>135</v>
      </c>
      <c r="C3" t="s">
        <v>21</v>
      </c>
      <c r="D3" s="5">
        <v>79</v>
      </c>
      <c r="E3" s="5">
        <v>38</v>
      </c>
    </row>
    <row r="4" spans="1:5" x14ac:dyDescent="0.45">
      <c r="A4" t="s">
        <v>121</v>
      </c>
      <c r="B4" t="s">
        <v>122</v>
      </c>
      <c r="C4" t="s">
        <v>21</v>
      </c>
      <c r="D4" s="5">
        <v>45</v>
      </c>
      <c r="E4" s="5">
        <v>19</v>
      </c>
    </row>
    <row r="5" spans="1:5" x14ac:dyDescent="0.45">
      <c r="A5" t="s">
        <v>88</v>
      </c>
      <c r="B5" t="s">
        <v>89</v>
      </c>
      <c r="C5" t="s">
        <v>21</v>
      </c>
      <c r="D5" s="5">
        <v>35</v>
      </c>
      <c r="E5" s="5">
        <v>14</v>
      </c>
    </row>
    <row r="6" spans="1:5" x14ac:dyDescent="0.45">
      <c r="A6" t="s">
        <v>79</v>
      </c>
      <c r="B6" t="s">
        <v>80</v>
      </c>
      <c r="C6" t="s">
        <v>46</v>
      </c>
      <c r="D6" s="5">
        <v>240</v>
      </c>
      <c r="E6" s="5">
        <v>150</v>
      </c>
    </row>
    <row r="7" spans="1:5" x14ac:dyDescent="0.45">
      <c r="A7" t="s">
        <v>56</v>
      </c>
      <c r="B7" t="s">
        <v>57</v>
      </c>
      <c r="C7" t="s">
        <v>46</v>
      </c>
      <c r="D7" s="5">
        <v>520</v>
      </c>
      <c r="E7" s="5">
        <v>360</v>
      </c>
    </row>
    <row r="8" spans="1:5" x14ac:dyDescent="0.45">
      <c r="A8" t="s">
        <v>44</v>
      </c>
      <c r="B8" t="s">
        <v>45</v>
      </c>
      <c r="C8" t="s">
        <v>46</v>
      </c>
      <c r="D8" s="5">
        <v>180</v>
      </c>
      <c r="E8" s="5">
        <v>105</v>
      </c>
    </row>
    <row r="9" spans="1:5" x14ac:dyDescent="0.45">
      <c r="A9" t="s">
        <v>103</v>
      </c>
      <c r="B9" t="s">
        <v>104</v>
      </c>
      <c r="C9" t="s">
        <v>42</v>
      </c>
      <c r="D9" s="5">
        <v>1150</v>
      </c>
      <c r="E9" s="5">
        <v>820</v>
      </c>
    </row>
    <row r="10" spans="1:5" x14ac:dyDescent="0.45">
      <c r="A10" t="s">
        <v>62</v>
      </c>
      <c r="B10" t="s">
        <v>63</v>
      </c>
      <c r="C10" t="s">
        <v>42</v>
      </c>
      <c r="D10" s="5">
        <v>1750</v>
      </c>
      <c r="E10" s="5">
        <v>1300</v>
      </c>
    </row>
    <row r="11" spans="1:5" x14ac:dyDescent="0.45">
      <c r="A11" t="s">
        <v>40</v>
      </c>
      <c r="B11" t="s">
        <v>41</v>
      </c>
      <c r="C11" t="s">
        <v>42</v>
      </c>
      <c r="D11" s="5">
        <v>1050</v>
      </c>
      <c r="E11" s="5">
        <v>760</v>
      </c>
    </row>
    <row r="12" spans="1:5" x14ac:dyDescent="0.45">
      <c r="A12" t="s">
        <v>74</v>
      </c>
      <c r="B12" t="s">
        <v>75</v>
      </c>
      <c r="C12" t="s">
        <v>30</v>
      </c>
      <c r="D12" s="5">
        <v>210</v>
      </c>
      <c r="E12" s="5">
        <v>120</v>
      </c>
    </row>
    <row r="13" spans="1:5" x14ac:dyDescent="0.45">
      <c r="A13" t="s">
        <v>28</v>
      </c>
      <c r="B13" t="s">
        <v>29</v>
      </c>
      <c r="C13" t="s">
        <v>30</v>
      </c>
      <c r="D13" s="5">
        <v>95</v>
      </c>
      <c r="E13" s="5">
        <v>44</v>
      </c>
    </row>
    <row r="14" spans="1:5" x14ac:dyDescent="0.45">
      <c r="A14" t="s">
        <v>53</v>
      </c>
      <c r="B14" t="s">
        <v>54</v>
      </c>
      <c r="C14" t="s">
        <v>30</v>
      </c>
      <c r="D14" s="5">
        <v>130</v>
      </c>
      <c r="E14" s="5">
        <v>62</v>
      </c>
    </row>
    <row r="15" spans="1:5" x14ac:dyDescent="0.45">
      <c r="A15" t="s">
        <v>68</v>
      </c>
      <c r="B15" t="s">
        <v>69</v>
      </c>
      <c r="C15" t="s">
        <v>70</v>
      </c>
      <c r="D15" s="5">
        <v>110</v>
      </c>
      <c r="E15" s="5">
        <v>55</v>
      </c>
    </row>
    <row r="16" spans="1:5" x14ac:dyDescent="0.45">
      <c r="A16" t="s">
        <v>91</v>
      </c>
      <c r="B16" t="s">
        <v>92</v>
      </c>
      <c r="C16" t="s">
        <v>70</v>
      </c>
      <c r="D16" s="5">
        <v>160</v>
      </c>
      <c r="E16" s="5">
        <v>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6E705-4DA3-420A-AC7C-58A6D1491018}">
  <dimension ref="A1:E16"/>
  <sheetViews>
    <sheetView workbookViewId="0">
      <selection sqref="A1:E16"/>
    </sheetView>
  </sheetViews>
  <sheetFormatPr defaultRowHeight="14.25" x14ac:dyDescent="0.45"/>
  <cols>
    <col min="1" max="1" width="10.6640625" customWidth="1"/>
    <col min="2" max="2" width="17.86328125" bestFit="1" customWidth="1"/>
    <col min="3" max="3" width="9.796875" customWidth="1"/>
    <col min="4" max="4" width="10" customWidth="1"/>
    <col min="5" max="5" width="9.59765625" customWidth="1"/>
  </cols>
  <sheetData>
    <row r="1" spans="1:5" x14ac:dyDescent="0.45">
      <c r="A1" s="1" t="s">
        <v>7</v>
      </c>
      <c r="B1" s="1" t="s">
        <v>8</v>
      </c>
      <c r="C1" s="1" t="s">
        <v>9</v>
      </c>
      <c r="D1" s="1" t="s">
        <v>11</v>
      </c>
      <c r="E1" s="1" t="s">
        <v>12</v>
      </c>
    </row>
    <row r="2" spans="1:5" x14ac:dyDescent="0.45">
      <c r="A2" t="s">
        <v>19</v>
      </c>
      <c r="B2" t="s">
        <v>20</v>
      </c>
      <c r="C2" t="s">
        <v>21</v>
      </c>
      <c r="D2" s="5">
        <v>25</v>
      </c>
      <c r="E2" s="5">
        <v>11</v>
      </c>
    </row>
    <row r="3" spans="1:5" x14ac:dyDescent="0.45">
      <c r="A3" t="s">
        <v>134</v>
      </c>
      <c r="B3" t="s">
        <v>135</v>
      </c>
      <c r="C3" t="s">
        <v>21</v>
      </c>
      <c r="D3" s="5">
        <v>79</v>
      </c>
      <c r="E3" s="5">
        <v>38</v>
      </c>
    </row>
    <row r="4" spans="1:5" x14ac:dyDescent="0.45">
      <c r="A4" t="s">
        <v>121</v>
      </c>
      <c r="B4" t="s">
        <v>122</v>
      </c>
      <c r="C4" t="s">
        <v>21</v>
      </c>
      <c r="D4" s="5">
        <v>45</v>
      </c>
      <c r="E4" s="5">
        <v>19</v>
      </c>
    </row>
    <row r="5" spans="1:5" x14ac:dyDescent="0.45">
      <c r="A5" t="s">
        <v>88</v>
      </c>
      <c r="B5" t="s">
        <v>89</v>
      </c>
      <c r="C5" t="s">
        <v>21</v>
      </c>
      <c r="D5" s="5">
        <v>35</v>
      </c>
      <c r="E5" s="5">
        <v>14</v>
      </c>
    </row>
    <row r="6" spans="1:5" x14ac:dyDescent="0.45">
      <c r="A6" t="s">
        <v>79</v>
      </c>
      <c r="B6" t="s">
        <v>80</v>
      </c>
      <c r="C6" t="s">
        <v>46</v>
      </c>
      <c r="D6" s="5">
        <v>240</v>
      </c>
      <c r="E6" s="5">
        <v>150</v>
      </c>
    </row>
    <row r="7" spans="1:5" x14ac:dyDescent="0.45">
      <c r="A7" t="s">
        <v>56</v>
      </c>
      <c r="B7" t="s">
        <v>57</v>
      </c>
      <c r="C7" t="s">
        <v>46</v>
      </c>
      <c r="D7" s="5">
        <v>520</v>
      </c>
      <c r="E7" s="5">
        <v>360</v>
      </c>
    </row>
    <row r="8" spans="1:5" x14ac:dyDescent="0.45">
      <c r="A8" t="s">
        <v>44</v>
      </c>
      <c r="B8" t="s">
        <v>45</v>
      </c>
      <c r="C8" t="s">
        <v>46</v>
      </c>
      <c r="D8" s="5">
        <v>180</v>
      </c>
      <c r="E8" s="5">
        <v>105</v>
      </c>
    </row>
    <row r="9" spans="1:5" x14ac:dyDescent="0.45">
      <c r="A9" t="s">
        <v>103</v>
      </c>
      <c r="B9" t="s">
        <v>104</v>
      </c>
      <c r="C9" t="s">
        <v>42</v>
      </c>
      <c r="D9" s="5">
        <v>1150</v>
      </c>
      <c r="E9" s="5">
        <v>820</v>
      </c>
    </row>
    <row r="10" spans="1:5" x14ac:dyDescent="0.45">
      <c r="A10" t="s">
        <v>62</v>
      </c>
      <c r="B10" t="s">
        <v>63</v>
      </c>
      <c r="C10" t="s">
        <v>42</v>
      </c>
      <c r="D10" s="5">
        <v>1750</v>
      </c>
      <c r="E10" s="5">
        <v>1300</v>
      </c>
    </row>
    <row r="11" spans="1:5" x14ac:dyDescent="0.45">
      <c r="A11" t="s">
        <v>40</v>
      </c>
      <c r="B11" t="s">
        <v>41</v>
      </c>
      <c r="C11" t="s">
        <v>42</v>
      </c>
      <c r="D11" s="5">
        <v>1050</v>
      </c>
      <c r="E11" s="5">
        <v>760</v>
      </c>
    </row>
    <row r="12" spans="1:5" x14ac:dyDescent="0.45">
      <c r="A12" t="s">
        <v>74</v>
      </c>
      <c r="B12" t="s">
        <v>75</v>
      </c>
      <c r="C12" t="s">
        <v>30</v>
      </c>
      <c r="D12" s="5">
        <v>210</v>
      </c>
      <c r="E12" s="5">
        <v>120</v>
      </c>
    </row>
    <row r="13" spans="1:5" x14ac:dyDescent="0.45">
      <c r="A13" t="s">
        <v>28</v>
      </c>
      <c r="B13" t="s">
        <v>29</v>
      </c>
      <c r="C13" t="s">
        <v>30</v>
      </c>
      <c r="D13" s="5">
        <v>95</v>
      </c>
      <c r="E13" s="5">
        <v>44</v>
      </c>
    </row>
    <row r="14" spans="1:5" x14ac:dyDescent="0.45">
      <c r="A14" t="s">
        <v>53</v>
      </c>
      <c r="B14" t="s">
        <v>54</v>
      </c>
      <c r="C14" t="s">
        <v>30</v>
      </c>
      <c r="D14" s="5">
        <v>130</v>
      </c>
      <c r="E14" s="5">
        <v>62</v>
      </c>
    </row>
    <row r="15" spans="1:5" x14ac:dyDescent="0.45">
      <c r="A15" t="s">
        <v>68</v>
      </c>
      <c r="B15" t="s">
        <v>69</v>
      </c>
      <c r="C15" t="s">
        <v>70</v>
      </c>
      <c r="D15" s="5">
        <v>110</v>
      </c>
      <c r="E15" s="5">
        <v>55</v>
      </c>
    </row>
    <row r="16" spans="1:5" x14ac:dyDescent="0.45">
      <c r="A16" t="s">
        <v>91</v>
      </c>
      <c r="B16" t="s">
        <v>92</v>
      </c>
      <c r="C16" t="s">
        <v>70</v>
      </c>
      <c r="D16" s="5">
        <v>160</v>
      </c>
      <c r="E16" s="5">
        <v>88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73B07-19CA-484F-904B-DD996A741C66}">
  <dimension ref="A1:D11"/>
  <sheetViews>
    <sheetView workbookViewId="0">
      <pane ySplit="1" topLeftCell="A2" activePane="bottomLeft" state="frozen"/>
      <selection pane="bottomLeft" activeCell="D5" sqref="D5"/>
    </sheetView>
  </sheetViews>
  <sheetFormatPr defaultRowHeight="14.25" x14ac:dyDescent="0.45"/>
  <cols>
    <col min="1" max="1" width="15.73046875" customWidth="1"/>
    <col min="2" max="2" width="15" customWidth="1"/>
    <col min="3" max="3" width="10" customWidth="1"/>
    <col min="4" max="4" width="22" customWidth="1"/>
  </cols>
  <sheetData>
    <row r="1" spans="1:4" s="1" customFormat="1" x14ac:dyDescent="0.45">
      <c r="A1" s="1" t="s">
        <v>5</v>
      </c>
      <c r="B1" s="1" t="s">
        <v>6</v>
      </c>
      <c r="C1" s="1" t="s">
        <v>3</v>
      </c>
      <c r="D1" s="1" t="s">
        <v>4</v>
      </c>
    </row>
    <row r="2" spans="1:4" x14ac:dyDescent="0.45">
      <c r="A2" t="s">
        <v>131</v>
      </c>
      <c r="B2" t="s">
        <v>132</v>
      </c>
      <c r="C2" t="s">
        <v>15</v>
      </c>
      <c r="D2" t="s">
        <v>130</v>
      </c>
    </row>
    <row r="3" spans="1:4" x14ac:dyDescent="0.45">
      <c r="A3" t="s">
        <v>17</v>
      </c>
      <c r="B3" t="s">
        <v>18</v>
      </c>
      <c r="C3" t="s">
        <v>15</v>
      </c>
      <c r="D3" t="s">
        <v>16</v>
      </c>
    </row>
    <row r="4" spans="1:4" x14ac:dyDescent="0.45">
      <c r="A4" t="s">
        <v>26</v>
      </c>
      <c r="B4" t="s">
        <v>27</v>
      </c>
      <c r="C4" t="s">
        <v>24</v>
      </c>
      <c r="D4" t="s">
        <v>25</v>
      </c>
    </row>
    <row r="5" spans="1:4" x14ac:dyDescent="0.45">
      <c r="A5" t="s">
        <v>51</v>
      </c>
      <c r="B5" t="s">
        <v>52</v>
      </c>
      <c r="C5" t="s">
        <v>36</v>
      </c>
      <c r="D5" t="s">
        <v>50</v>
      </c>
    </row>
    <row r="6" spans="1:4" x14ac:dyDescent="0.45">
      <c r="A6" t="s">
        <v>66</v>
      </c>
      <c r="B6" t="s">
        <v>67</v>
      </c>
      <c r="C6" t="s">
        <v>36</v>
      </c>
      <c r="D6" t="s">
        <v>65</v>
      </c>
    </row>
    <row r="7" spans="1:4" x14ac:dyDescent="0.45">
      <c r="A7" t="s">
        <v>83</v>
      </c>
      <c r="B7" t="s">
        <v>84</v>
      </c>
      <c r="C7" t="s">
        <v>15</v>
      </c>
      <c r="D7" t="s">
        <v>82</v>
      </c>
    </row>
    <row r="8" spans="1:4" x14ac:dyDescent="0.45">
      <c r="A8" t="s">
        <v>33</v>
      </c>
      <c r="B8" t="s">
        <v>34</v>
      </c>
      <c r="C8" t="s">
        <v>15</v>
      </c>
      <c r="D8" t="s">
        <v>32</v>
      </c>
    </row>
    <row r="9" spans="1:4" x14ac:dyDescent="0.45">
      <c r="A9" t="s">
        <v>60</v>
      </c>
      <c r="B9" t="s">
        <v>61</v>
      </c>
      <c r="C9" t="s">
        <v>24</v>
      </c>
      <c r="D9" t="s">
        <v>59</v>
      </c>
    </row>
    <row r="10" spans="1:4" x14ac:dyDescent="0.45">
      <c r="A10" t="s">
        <v>38</v>
      </c>
      <c r="B10" t="s">
        <v>39</v>
      </c>
      <c r="C10" t="s">
        <v>36</v>
      </c>
      <c r="D10" t="s">
        <v>37</v>
      </c>
    </row>
    <row r="11" spans="1:4" x14ac:dyDescent="0.45">
      <c r="A11" t="s">
        <v>139</v>
      </c>
      <c r="B11" t="s">
        <v>140</v>
      </c>
      <c r="C11" t="s">
        <v>36</v>
      </c>
      <c r="D11" t="s">
        <v>138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>
      <pane ySplit="1" topLeftCell="A2" activePane="bottomLeft" state="frozen"/>
      <selection pane="bottomLeft" activeCell="D26" sqref="D26"/>
    </sheetView>
  </sheetViews>
  <sheetFormatPr defaultRowHeight="14.25" x14ac:dyDescent="0.45"/>
  <cols>
    <col min="1" max="1" width="15.73046875" customWidth="1"/>
    <col min="2" max="2" width="15" customWidth="1"/>
    <col min="3" max="3" width="10" customWidth="1"/>
    <col min="4" max="4" width="22" customWidth="1"/>
  </cols>
  <sheetData>
    <row r="1" spans="1:4" s="1" customFormat="1" x14ac:dyDescent="0.45">
      <c r="A1" s="1" t="s">
        <v>5</v>
      </c>
      <c r="B1" s="1" t="s">
        <v>6</v>
      </c>
      <c r="C1" s="1" t="s">
        <v>3</v>
      </c>
      <c r="D1" s="1" t="s">
        <v>4</v>
      </c>
    </row>
    <row r="2" spans="1:4" x14ac:dyDescent="0.45">
      <c r="A2" t="s">
        <v>131</v>
      </c>
      <c r="B2" t="s">
        <v>132</v>
      </c>
      <c r="C2" t="s">
        <v>15</v>
      </c>
      <c r="D2" t="s">
        <v>130</v>
      </c>
    </row>
    <row r="3" spans="1:4" x14ac:dyDescent="0.45">
      <c r="A3" t="s">
        <v>17</v>
      </c>
      <c r="B3" t="s">
        <v>18</v>
      </c>
      <c r="C3" t="s">
        <v>15</v>
      </c>
      <c r="D3" t="s">
        <v>16</v>
      </c>
    </row>
    <row r="4" spans="1:4" x14ac:dyDescent="0.45">
      <c r="A4" t="s">
        <v>26</v>
      </c>
      <c r="B4" t="s">
        <v>27</v>
      </c>
      <c r="C4" t="s">
        <v>24</v>
      </c>
      <c r="D4" t="s">
        <v>25</v>
      </c>
    </row>
    <row r="5" spans="1:4" x14ac:dyDescent="0.45">
      <c r="A5" t="s">
        <v>51</v>
      </c>
      <c r="B5" t="s">
        <v>52</v>
      </c>
      <c r="C5" t="s">
        <v>36</v>
      </c>
      <c r="D5" t="s">
        <v>50</v>
      </c>
    </row>
    <row r="6" spans="1:4" x14ac:dyDescent="0.45">
      <c r="A6" t="s">
        <v>66</v>
      </c>
      <c r="B6" t="s">
        <v>67</v>
      </c>
      <c r="C6" t="s">
        <v>36</v>
      </c>
      <c r="D6" t="s">
        <v>65</v>
      </c>
    </row>
    <row r="7" spans="1:4" x14ac:dyDescent="0.45">
      <c r="A7" t="s">
        <v>83</v>
      </c>
      <c r="B7" t="s">
        <v>84</v>
      </c>
      <c r="C7" t="s">
        <v>15</v>
      </c>
      <c r="D7" t="s">
        <v>82</v>
      </c>
    </row>
    <row r="8" spans="1:4" x14ac:dyDescent="0.45">
      <c r="A8" t="s">
        <v>33</v>
      </c>
      <c r="B8" t="s">
        <v>34</v>
      </c>
      <c r="C8" t="s">
        <v>15</v>
      </c>
      <c r="D8" t="s">
        <v>32</v>
      </c>
    </row>
    <row r="9" spans="1:4" x14ac:dyDescent="0.45">
      <c r="A9" t="s">
        <v>60</v>
      </c>
      <c r="B9" t="s">
        <v>61</v>
      </c>
      <c r="C9" t="s">
        <v>24</v>
      </c>
      <c r="D9" t="s">
        <v>59</v>
      </c>
    </row>
    <row r="10" spans="1:4" x14ac:dyDescent="0.45">
      <c r="A10" t="s">
        <v>38</v>
      </c>
      <c r="B10" t="s">
        <v>39</v>
      </c>
      <c r="C10" t="s">
        <v>36</v>
      </c>
      <c r="D10" t="s">
        <v>37</v>
      </c>
    </row>
    <row r="11" spans="1:4" x14ac:dyDescent="0.45">
      <c r="A11" t="s">
        <v>139</v>
      </c>
      <c r="B11" t="s">
        <v>140</v>
      </c>
      <c r="C11" t="s">
        <v>36</v>
      </c>
      <c r="D11" t="s">
        <v>138</v>
      </c>
    </row>
  </sheetData>
  <pageMargins left="0.75" right="0.75" top="1" bottom="1" header="0.5" footer="0.5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584809-D4E4-4F9E-8C03-7971D91B68B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</vt:lpstr>
      <vt:lpstr>01_sales</vt:lpstr>
      <vt:lpstr>Products</vt:lpstr>
      <vt:lpstr>01_products</vt:lpstr>
      <vt:lpstr>01_salespeople</vt:lpstr>
      <vt:lpstr>Salespeople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Rajan Shrestha</cp:lastModifiedBy>
  <dcterms:created xsi:type="dcterms:W3CDTF">2026-06-17T18:31:31Z</dcterms:created>
  <dcterms:modified xsi:type="dcterms:W3CDTF">2026-06-24T18:10:37Z</dcterms:modified>
</cp:coreProperties>
</file>