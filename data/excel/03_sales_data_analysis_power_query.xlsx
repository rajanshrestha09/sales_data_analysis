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931a47612db4168b/Desktop/Excel Learning/01_Project/"/>
    </mc:Choice>
  </mc:AlternateContent>
  <xr:revisionPtr revIDLastSave="103" documentId="8_{7F60CDB1-5A8B-485D-9E8D-2B65EB70DAA8}" xr6:coauthVersionLast="47" xr6:coauthVersionMax="47" xr10:uidLastSave="{6D85243C-2E4D-44B8-8C42-EB4EEADB63BB}"/>
  <bookViews>
    <workbookView xWindow="-98" yWindow="-98" windowWidth="28996" windowHeight="15675" activeTab="2" xr2:uid="{9EBC488D-98A4-43C3-859D-B799643BA09D}"/>
  </bookViews>
  <sheets>
    <sheet name="revenue_by_products(chart)" sheetId="8" r:id="rId1"/>
    <sheet name="profit_by_salesperson(chart)" sheetId="9" r:id="rId2"/>
    <sheet name="revenue_analysis_slicer" sheetId="10" r:id="rId3"/>
    <sheet name="sales_products_salespeople" sheetId="5" r:id="rId4"/>
    <sheet name="01_salespeople" sheetId="4" state="hidden" r:id="rId5"/>
    <sheet name="01_sales" sheetId="3" state="hidden" r:id="rId6"/>
    <sheet name="01_products" sheetId="2" state="hidden" r:id="rId7"/>
  </sheets>
  <definedNames>
    <definedName name="ExternalData_1" localSheetId="6" hidden="1">'01_products'!$A$1:$E$16</definedName>
    <definedName name="ExternalData_2" localSheetId="5" hidden="1">'01_sales'!$A$1:$O$201</definedName>
    <definedName name="ExternalData_3" localSheetId="4" hidden="1">'01_salespeople'!$A$1:$D$11</definedName>
    <definedName name="ExternalData_4" localSheetId="3" hidden="1">sales_products_salespeople!$A$1:$R$201</definedName>
    <definedName name="Slicer_OrderDate">#N/A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1472D8-D84E-41B2-AA7B-00D8962A5156}" keepAlive="1" name="Query - 01_products" description="Connection to the '01_products' query in the workbook." type="5" refreshedVersion="8" background="1" saveData="1">
    <dbPr connection="Provider=Microsoft.Mashup.OleDb.1;Data Source=$Workbook$;Location=01_products;Extended Properties=&quot;&quot;" command="SELECT * FROM [01_products]"/>
  </connection>
  <connection id="2" xr16:uid="{6815B471-34EE-42B5-A37C-7F00D1A117FD}" keepAlive="1" name="Query - 01_sales" description="Connection to the '01_sales' query in the workbook." type="5" refreshedVersion="8" background="1" saveData="1">
    <dbPr connection="Provider=Microsoft.Mashup.OleDb.1;Data Source=$Workbook$;Location=01_sales;Extended Properties=&quot;&quot;" command="SELECT * FROM [01_sales]"/>
  </connection>
  <connection id="3" xr16:uid="{CB19B0C1-EABA-423E-BDDB-F54282281BE3}" keepAlive="1" name="Query - 01_salespeople" description="Connection to the '01_salespeople' query in the workbook." type="5" refreshedVersion="8" background="1" saveData="1">
    <dbPr connection="Provider=Microsoft.Mashup.OleDb.1;Data Source=$Workbook$;Location=01_salespeople;Extended Properties=&quot;&quot;" command="SELECT * FROM [01_salespeople]"/>
  </connection>
  <connection id="4" xr16:uid="{08F7AB45-4C08-460C-A999-34A53508F5BB}" keepAlive="1" name="Query - sales_products_salespeople" description="Connection to the 'sales_products_salespeople' query in the workbook." type="5" refreshedVersion="8" background="1" saveData="1">
    <dbPr connection="Provider=Microsoft.Mashup.OleDb.1;Data Source=$Workbook$;Location=sales_products_salespeople;Extended Properties=&quot;&quot;" command="SELECT * FROM [sales_products_salespeople]"/>
  </connection>
</connections>
</file>

<file path=xl/sharedStrings.xml><?xml version="1.0" encoding="utf-8"?>
<sst xmlns="http://schemas.openxmlformats.org/spreadsheetml/2006/main" count="3240" uniqueCount="298">
  <si>
    <t>ProductID</t>
  </si>
  <si>
    <t>Product</t>
  </si>
  <si>
    <t>Category</t>
  </si>
  <si>
    <t>UnitPrice</t>
  </si>
  <si>
    <t>UnitCost</t>
  </si>
  <si>
    <t>P-101</t>
  </si>
  <si>
    <t>Wireless Mouse</t>
  </si>
  <si>
    <t>Accessories</t>
  </si>
  <si>
    <t>P-102</t>
  </si>
  <si>
    <t>Mechanical Keyboard</t>
  </si>
  <si>
    <t>P-103</t>
  </si>
  <si>
    <t>USB-C Hub</t>
  </si>
  <si>
    <t>P-104</t>
  </si>
  <si>
    <t>Laptop Stand</t>
  </si>
  <si>
    <t>P-201</t>
  </si>
  <si>
    <t>27in Monitor</t>
  </si>
  <si>
    <t>Displays</t>
  </si>
  <si>
    <t>P-202</t>
  </si>
  <si>
    <t>34in Ultrawide</t>
  </si>
  <si>
    <t>P-203</t>
  </si>
  <si>
    <t>Portable Monitor</t>
  </si>
  <si>
    <t>P-301</t>
  </si>
  <si>
    <t>Ultrabook 14</t>
  </si>
  <si>
    <t>Laptops</t>
  </si>
  <si>
    <t>P-302</t>
  </si>
  <si>
    <t>Gaming Laptop 16</t>
  </si>
  <si>
    <t>P-303</t>
  </si>
  <si>
    <t>Business Laptop 15</t>
  </si>
  <si>
    <t>P-401</t>
  </si>
  <si>
    <t>Noise-Cancel Headset</t>
  </si>
  <si>
    <t>Audio</t>
  </si>
  <si>
    <t>P-402</t>
  </si>
  <si>
    <t>Desk Speakers</t>
  </si>
  <si>
    <t>P-403</t>
  </si>
  <si>
    <t>Conference Mic</t>
  </si>
  <si>
    <t>P-501</t>
  </si>
  <si>
    <t>Webcam 4K</t>
  </si>
  <si>
    <t>Peripherals</t>
  </si>
  <si>
    <t>P-502</t>
  </si>
  <si>
    <t>Document Scanner</t>
  </si>
  <si>
    <t>OrderID</t>
  </si>
  <si>
    <t>OrderDate</t>
  </si>
  <si>
    <t>SalespersonID</t>
  </si>
  <si>
    <t>Channel</t>
  </si>
  <si>
    <t>Region</t>
  </si>
  <si>
    <t>Country</t>
  </si>
  <si>
    <t>Quantity</t>
  </si>
  <si>
    <t>Discount</t>
  </si>
  <si>
    <t>Revenue</t>
  </si>
  <si>
    <t>Commission</t>
  </si>
  <si>
    <t>Profit</t>
  </si>
  <si>
    <t>ProfitMargin</t>
  </si>
  <si>
    <t>ORD-10001</t>
  </si>
  <si>
    <t>S-02</t>
  </si>
  <si>
    <t>Partner</t>
  </si>
  <si>
    <t>EMEA</t>
  </si>
  <si>
    <t>Portugal</t>
  </si>
  <si>
    <t>ORD-10002</t>
  </si>
  <si>
    <t>S-03</t>
  </si>
  <si>
    <t>Online</t>
  </si>
  <si>
    <t>APAC</t>
  </si>
  <si>
    <t>Singapore</t>
  </si>
  <si>
    <t>ORD-10003</t>
  </si>
  <si>
    <t>S-07</t>
  </si>
  <si>
    <t>Kenya</t>
  </si>
  <si>
    <t>ORD-10004</t>
  </si>
  <si>
    <t>S-09</t>
  </si>
  <si>
    <t>Americas</t>
  </si>
  <si>
    <t>Brazil</t>
  </si>
  <si>
    <t>ORD-10005</t>
  </si>
  <si>
    <t>ORD-10006</t>
  </si>
  <si>
    <t>Retail</t>
  </si>
  <si>
    <t>ORD-10007</t>
  </si>
  <si>
    <t>S-04</t>
  </si>
  <si>
    <t>Mexico</t>
  </si>
  <si>
    <t>ORD-10008</t>
  </si>
  <si>
    <t>ORD-10009</t>
  </si>
  <si>
    <t>S-08</t>
  </si>
  <si>
    <t>Japan</t>
  </si>
  <si>
    <t>ORD-10010</t>
  </si>
  <si>
    <t>S-05</t>
  </si>
  <si>
    <t>United States</t>
  </si>
  <si>
    <t>ORD-10011</t>
  </si>
  <si>
    <t>ORD-10012</t>
  </si>
  <si>
    <t>ORD-10013</t>
  </si>
  <si>
    <t>ORD-10014</t>
  </si>
  <si>
    <t>ORD-10015</t>
  </si>
  <si>
    <t>ORD-10016</t>
  </si>
  <si>
    <t>ORD-10017</t>
  </si>
  <si>
    <t>S-06</t>
  </si>
  <si>
    <t>United Arab Emirates</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</si>
  <si>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</si>
  <si>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</si>
  <si>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</si>
  <si>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</si>
  <si>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</si>
  <si>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</si>
  <si>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</si>
  <si>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</si>
  <si>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</si>
  <si>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</si>
  <si>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</si>
  <si>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</si>
  <si>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</si>
  <si>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</si>
  <si>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</si>
  <si>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</si>
  <si>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</si>
  <si>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</si>
  <si>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</si>
  <si>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</si>
  <si>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</si>
  <si>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</si>
  <si>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</si>
  <si>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</si>
  <si>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</si>
  <si>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</si>
  <si>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</si>
  <si>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</si>
  <si>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</si>
  <si>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</si>
  <si>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</si>
  <si>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</si>
  <si>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</si>
  <si>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</si>
  <si>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</si>
  <si>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</si>
  <si>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</si>
  <si>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S-01</t>
  </si>
  <si>
    <t>United Kingdom</t>
  </si>
  <si>
    <t>ORD-10055</t>
  </si>
  <si>
    <t>ORD-10056</t>
  </si>
  <si>
    <t>ORD-10057</t>
  </si>
  <si>
    <t>S-10</t>
  </si>
  <si>
    <t>Canada</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</si>
  <si>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</si>
  <si>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</si>
  <si>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</si>
  <si>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</si>
  <si>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</si>
  <si>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</si>
  <si>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</si>
  <si>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</si>
  <si>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</si>
  <si>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</si>
  <si>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</si>
  <si>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</si>
  <si>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</si>
  <si>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</si>
  <si>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</si>
  <si>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</si>
  <si>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</si>
  <si>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</si>
  <si>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</si>
  <si>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</si>
  <si>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</si>
  <si>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</si>
  <si>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</si>
  <si>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</si>
  <si>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</si>
  <si>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</si>
  <si>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</si>
  <si>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</si>
  <si>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</si>
  <si>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</si>
  <si>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</si>
  <si>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</si>
  <si>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</si>
  <si>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</si>
  <si>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</si>
  <si>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</si>
  <si>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</si>
  <si>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</si>
  <si>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</si>
  <si>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</si>
  <si>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</si>
  <si>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</si>
  <si>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</si>
  <si>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</si>
  <si>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</si>
  <si>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</si>
  <si>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</si>
  <si>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</si>
  <si>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</si>
  <si>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</si>
  <si>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</si>
  <si>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</si>
  <si>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</si>
  <si>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</si>
  <si>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</si>
  <si>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</si>
  <si>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</si>
  <si>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</si>
  <si>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</si>
  <si>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</si>
  <si>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</si>
  <si>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</si>
  <si>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</si>
  <si>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</si>
  <si>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</si>
  <si>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</si>
  <si>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</si>
  <si>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</si>
  <si>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</si>
  <si>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</si>
  <si>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</si>
  <si>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</si>
  <si>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</si>
  <si>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</si>
  <si>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</si>
  <si>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</si>
  <si>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</si>
  <si>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</si>
  <si>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</si>
  <si>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</si>
  <si>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</si>
  <si>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</si>
  <si>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</si>
  <si>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</si>
  <si>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</si>
  <si>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</si>
  <si>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</si>
  <si>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</si>
  <si>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</si>
  <si>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</si>
  <si>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</si>
  <si>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</si>
  <si>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</si>
  <si>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</si>
  <si>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</si>
  <si>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</si>
  <si>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</si>
  <si>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</si>
  <si>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</si>
  <si>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</si>
  <si>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</si>
  <si>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</si>
  <si>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</si>
  <si>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</si>
  <si>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</si>
  <si>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</si>
  <si>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</si>
  <si>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</si>
  <si>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</si>
  <si>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</si>
  <si>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</si>
  <si>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</si>
  <si>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</si>
  <si>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</si>
  <si>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</si>
  <si>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</si>
  <si>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</si>
  <si>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</si>
  <si>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</si>
  <si>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</si>
  <si>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</si>
  <si>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</si>
  <si>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</si>
  <si>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</si>
  <si>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</si>
  <si>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</si>
  <si>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</si>
  <si>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</si>
  <si>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</si>
  <si>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</si>
  <si>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</si>
  <si>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</si>
  <si>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</si>
  <si>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</si>
  <si>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</si>
  <si>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</si>
  <si>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</si>
  <si>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</si>
  <si>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</si>
  <si>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</si>
  <si>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</si>
  <si>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</si>
  <si>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</si>
  <si>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Salesperson</t>
  </si>
  <si>
    <t>Aisha Khan</t>
  </si>
  <si>
    <t>Bruno Costa</t>
  </si>
  <si>
    <t>Chen Wei</t>
  </si>
  <si>
    <t>Diana Lopez</t>
  </si>
  <si>
    <t>Ethan Brooks</t>
  </si>
  <si>
    <t>Fatima Noor</t>
  </si>
  <si>
    <t>Grace Mwangi</t>
  </si>
  <si>
    <t>Hiro Tanaka</t>
  </si>
  <si>
    <t>Isabela Rocha</t>
  </si>
  <si>
    <t>Jamal Edwards</t>
  </si>
  <si>
    <t>01_salespeople.Salesperson</t>
  </si>
  <si>
    <t>01_products.Category</t>
  </si>
  <si>
    <t>01_products.Product</t>
  </si>
  <si>
    <t>Row Labels</t>
  </si>
  <si>
    <t>Grand Total</t>
  </si>
  <si>
    <t>Sum of Revenue</t>
  </si>
  <si>
    <t>Sum of Profit</t>
  </si>
  <si>
    <t>Column Labels</t>
  </si>
  <si>
    <t>Product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</si>
</sst>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9" fontId="0" fillId="0" borderId="0" xfId="1" applyFont="1"/>
    <xf numFmtId="0" fontId="0" fillId="0" borderId="1" xfId="0" applyBorder="1"/>
    <xf numFmtId="164" fontId="0" fillId="0" borderId="1" xfId="0" applyNumberFormat="1" applyBorder="1"/>
    <xf numFmtId="0" fontId="0" fillId="0" borderId="2" xfId="0" pivotButton="1" applyBorder="1"/>
    <xf numFmtId="0" fontId="0" fillId="0" borderId="3" xfId="0" applyBorder="1"/>
    <xf numFmtId="0" fontId="0" fillId="0" borderId="4" xfId="0" applyBorder="1" applyAlignment="1">
      <alignment horizontal="left"/>
    </xf>
    <xf numFmtId="164" fontId="0" fillId="0" borderId="5" xfId="0" applyNumberFormat="1" applyBorder="1"/>
    <xf numFmtId="0" fontId="0" fillId="0" borderId="6" xfId="0" applyBorder="1" applyAlignment="1">
      <alignment horizontal="left"/>
    </xf>
    <xf numFmtId="164" fontId="0" fillId="0" borderId="7" xfId="0" applyNumberFormat="1" applyBorder="1"/>
    <xf numFmtId="0" fontId="0" fillId="0" borderId="8" xfId="0" pivotButton="1" applyBorder="1"/>
    <xf numFmtId="0" fontId="0" fillId="0" borderId="8" xfId="0" applyBorder="1"/>
    <xf numFmtId="0" fontId="0" fillId="0" borderId="4" xfId="0" pivotButton="1" applyBorder="1"/>
    <xf numFmtId="0" fontId="0" fillId="0" borderId="5" xfId="0" applyBorder="1"/>
    <xf numFmtId="164" fontId="0" fillId="0" borderId="9" xfId="0" applyNumberFormat="1" applyBorder="1"/>
    <xf numFmtId="0" fontId="0" fillId="0" borderId="7" xfId="0" applyBorder="1"/>
  </cellXfs>
  <cellStyles count="2">
    <cellStyle name="Normal" xfId="0" builtinId="0"/>
    <cellStyle name="Percent" xfId="1" builtinId="5"/>
  </cellStyles>
  <dxfs count="10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4" formatCode="&quot;$&quot;#,##0"/>
    </dxf>
    <dxf>
      <numFmt numFmtId="164" formatCode="&quot;$&quot;#,##0"/>
    </dxf>
    <dxf>
      <numFmt numFmtId="164" formatCode="&quot;$&quot;#,##0"/>
    </dxf>
    <dxf>
      <numFmt numFmtId="164" formatCode="&quot;$&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[02_sales_data_analysis_power_query.xlsx]revenue_by_products(chart)!PivotTable3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Top 5</a:t>
            </a:r>
            <a:r>
              <a:rPr lang="en-US" sz="1400" b="1" baseline="0">
                <a:solidFill>
                  <a:sysClr val="windowText" lastClr="000000"/>
                </a:solidFill>
              </a:rPr>
              <a:t> Product By Revenue</a:t>
            </a:r>
            <a:endParaRPr lang="en-US" sz="14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'revenue_by_products(chart)'!$B$3</c:f>
              <c:strCache>
                <c:ptCount val="1"/>
                <c:pt idx="0">
                  <c:v>Total</c:v>
                </c:pt>
              </c:strCache>
            </c:strRef>
          </c:tx>
          <c:spPr>
            <a:solidFill>
              <a:schemeClr val="accent1"/>
            </a:solidFill>
            <a:ln>
              <a:noFill/>
            </a:ln>
            <a:effectLst/>
          </c:spPr>
          <c:invertIfNegative val="0"/>
          <c:cat>
            <c:strRef>
              <c:f>'revenue_by_products(chart)'!$A$4:$A$8</c:f>
              <c:strCache>
                <c:ptCount val="5"/>
                <c:pt idx="0">
                  <c:v>Gaming Laptop 16</c:v>
                </c:pt>
                <c:pt idx="1">
                  <c:v>Business Laptop 15</c:v>
                </c:pt>
                <c:pt idx="2">
                  <c:v>Ultrabook 14</c:v>
                </c:pt>
                <c:pt idx="3">
                  <c:v>34in Ultrawide</c:v>
                </c:pt>
                <c:pt idx="4">
                  <c:v>27in Monitor</c:v>
                </c:pt>
              </c:strCache>
            </c:strRef>
          </c:cat>
          <c:val>
            <c:numRef>
              <c:f>'revenue_by_products(chart)'!$B$4:$B$8</c:f>
              <c:numCache>
                <c:formatCode>"$"#,##0</c:formatCode>
                <c:ptCount val="5"/>
                <c:pt idx="0">
                  <c:v>421925</c:v>
                </c:pt>
                <c:pt idx="1">
                  <c:v>199762.5</c:v>
                </c:pt>
                <c:pt idx="2">
                  <c:v>146797.5</c:v>
                </c:pt>
                <c:pt idx="3">
                  <c:v>74464</c:v>
                </c:pt>
                <c:pt idx="4">
                  <c:v>44040</c:v>
                </c:pt>
              </c:numCache>
            </c:numRef>
          </c:val>
          <c:extLst>
            <c:ext xmlns:c16="http://schemas.microsoft.com/office/drawing/2014/chart" uri="{C3380CC4-5D6E-409C-BE32-E72D297353CC}">
              <c16:uniqueId val="{00000000-A0BD-4BF6-8D23-D8293425E95B}"/>
            </c:ext>
          </c:extLst>
        </c:ser>
        <c:dLbls>
          <c:showLegendKey val="0"/>
          <c:showVal val="0"/>
          <c:showCatName val="0"/>
          <c:showSerName val="0"/>
          <c:showPercent val="0"/>
          <c:showBubbleSize val="0"/>
        </c:dLbls>
        <c:gapWidth val="219"/>
        <c:overlap val="-27"/>
        <c:axId val="506678448"/>
        <c:axId val="506678928"/>
      </c:barChart>
      <c:catAx>
        <c:axId val="50667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78928"/>
        <c:crosses val="autoZero"/>
        <c:auto val="1"/>
        <c:lblAlgn val="ctr"/>
        <c:lblOffset val="100"/>
        <c:noMultiLvlLbl val="0"/>
      </c:catAx>
      <c:valAx>
        <c:axId val="506678928"/>
        <c:scaling>
          <c:orientation val="minMax"/>
          <c:min val="35000"/>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67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[02_sales_data_analysis_power_query.xlsx]revenue_by_products(chart)!PivotTable5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solidFill>
              </a:rPr>
              <a:t>Revenue By Country and Region (≥ $100K)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'revenue_by_products(chart)'!$B$17:$B$18</c:f>
              <c:strCache>
                <c:ptCount val="1"/>
                <c:pt idx="0">
                  <c:v>Americas</c:v>
                </c:pt>
              </c:strCache>
            </c:strRef>
          </c:tx>
          <c:spPr>
            <a:solidFill>
              <a:schemeClr val="accent1"/>
            </a:solidFill>
            <a:ln>
              <a:noFill/>
            </a:ln>
            <a:effectLst/>
          </c:spPr>
          <c:invertIfNegative val="0"/>
          <c:cat>
            <c:strRef>
              <c:f>'revenue_by_products(chart)'!$A$19:$A$24</c:f>
              <c:strCache>
                <c:ptCount val="5"/>
                <c:pt idx="0">
                  <c:v>United States</c:v>
                </c:pt>
                <c:pt idx="1">
                  <c:v>Kenya</c:v>
                </c:pt>
                <c:pt idx="2">
                  <c:v>Portugal</c:v>
                </c:pt>
                <c:pt idx="3">
                  <c:v>Mexico</c:v>
                </c:pt>
                <c:pt idx="4">
                  <c:v>Singapore</c:v>
                </c:pt>
              </c:strCache>
            </c:strRef>
          </c:cat>
          <c:val>
            <c:numRef>
              <c:f>'revenue_by_products(chart)'!$B$19:$B$24</c:f>
              <c:numCache>
                <c:formatCode>"$"#,##0</c:formatCode>
                <c:ptCount val="5"/>
                <c:pt idx="0">
                  <c:v>193316.5</c:v>
                </c:pt>
                <c:pt idx="3">
                  <c:v>132601</c:v>
                </c:pt>
              </c:numCache>
            </c:numRef>
          </c:val>
          <c:extLst>
            <c:ext xmlns:c16="http://schemas.microsoft.com/office/drawing/2014/chart" uri="{C3380CC4-5D6E-409C-BE32-E72D297353CC}">
              <c16:uniqueId val="{00000000-DA52-474D-8114-AC6DBD14961D}"/>
            </c:ext>
          </c:extLst>
        </c:ser>
        <c:ser>
          <c:idx val="1"/>
          <c:order val="1"/>
          <c:tx>
            <c:strRef>
              <c:f>'revenue_by_products(chart)'!$C$17:$C$18</c:f>
              <c:strCache>
                <c:ptCount val="1"/>
                <c:pt idx="0">
                  <c:v>APAC</c:v>
                </c:pt>
              </c:strCache>
            </c:strRef>
          </c:tx>
          <c:spPr>
            <a:solidFill>
              <a:schemeClr val="accent2"/>
            </a:solidFill>
            <a:ln>
              <a:noFill/>
            </a:ln>
            <a:effectLst/>
          </c:spPr>
          <c:invertIfNegative val="0"/>
          <c:cat>
            <c:strRef>
              <c:f>'revenue_by_products(chart)'!$A$19:$A$24</c:f>
              <c:strCache>
                <c:ptCount val="5"/>
                <c:pt idx="0">
                  <c:v>United States</c:v>
                </c:pt>
                <c:pt idx="1">
                  <c:v>Kenya</c:v>
                </c:pt>
                <c:pt idx="2">
                  <c:v>Portugal</c:v>
                </c:pt>
                <c:pt idx="3">
                  <c:v>Mexico</c:v>
                </c:pt>
                <c:pt idx="4">
                  <c:v>Singapore</c:v>
                </c:pt>
              </c:strCache>
            </c:strRef>
          </c:cat>
          <c:val>
            <c:numRef>
              <c:f>'revenue_by_products(chart)'!$C$19:$C$24</c:f>
              <c:numCache>
                <c:formatCode>"$"#,##0</c:formatCode>
                <c:ptCount val="5"/>
                <c:pt idx="4">
                  <c:v>105455.05</c:v>
                </c:pt>
              </c:numCache>
            </c:numRef>
          </c:val>
          <c:extLst>
            <c:ext xmlns:c16="http://schemas.microsoft.com/office/drawing/2014/chart" uri="{C3380CC4-5D6E-409C-BE32-E72D297353CC}">
              <c16:uniqueId val="{00000001-DA52-474D-8114-AC6DBD14961D}"/>
            </c:ext>
          </c:extLst>
        </c:ser>
        <c:ser>
          <c:idx val="2"/>
          <c:order val="2"/>
          <c:tx>
            <c:strRef>
              <c:f>'revenue_by_products(chart)'!$D$17:$D$18</c:f>
              <c:strCache>
                <c:ptCount val="1"/>
                <c:pt idx="0">
                  <c:v>EMEA</c:v>
                </c:pt>
              </c:strCache>
            </c:strRef>
          </c:tx>
          <c:spPr>
            <a:solidFill>
              <a:schemeClr val="accent3"/>
            </a:solidFill>
            <a:ln>
              <a:noFill/>
            </a:ln>
            <a:effectLst/>
          </c:spPr>
          <c:invertIfNegative val="0"/>
          <c:cat>
            <c:strRef>
              <c:f>'revenue_by_products(chart)'!$A$19:$A$24</c:f>
              <c:strCache>
                <c:ptCount val="5"/>
                <c:pt idx="0">
                  <c:v>United States</c:v>
                </c:pt>
                <c:pt idx="1">
                  <c:v>Kenya</c:v>
                </c:pt>
                <c:pt idx="2">
                  <c:v>Portugal</c:v>
                </c:pt>
                <c:pt idx="3">
                  <c:v>Mexico</c:v>
                </c:pt>
                <c:pt idx="4">
                  <c:v>Singapore</c:v>
                </c:pt>
              </c:strCache>
            </c:strRef>
          </c:cat>
          <c:val>
            <c:numRef>
              <c:f>'revenue_by_products(chart)'!$D$19:$D$24</c:f>
              <c:numCache>
                <c:formatCode>"$"#,##0</c:formatCode>
                <c:ptCount val="5"/>
                <c:pt idx="1">
                  <c:v>144780.1</c:v>
                </c:pt>
                <c:pt idx="2">
                  <c:v>139809.5</c:v>
                </c:pt>
              </c:numCache>
            </c:numRef>
          </c:val>
          <c:extLst>
            <c:ext xmlns:c16="http://schemas.microsoft.com/office/drawing/2014/chart" uri="{C3380CC4-5D6E-409C-BE32-E72D297353CC}">
              <c16:uniqueId val="{00000002-DA52-474D-8114-AC6DBD14961D}"/>
            </c:ext>
          </c:extLst>
        </c:ser>
        <c:dLbls>
          <c:showLegendKey val="0"/>
          <c:showVal val="0"/>
          <c:showCatName val="0"/>
          <c:showSerName val="0"/>
          <c:showPercent val="0"/>
          <c:showBubbleSize val="0"/>
        </c:dLbls>
        <c:gapWidth val="219"/>
        <c:overlap val="-27"/>
        <c:axId val="506823888"/>
        <c:axId val="506837328"/>
      </c:barChart>
      <c:catAx>
        <c:axId val="506823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37328"/>
        <c:crosses val="autoZero"/>
        <c:auto val="1"/>
        <c:lblAlgn val="ctr"/>
        <c:lblOffset val="100"/>
        <c:noMultiLvlLbl val="0"/>
      </c:catAx>
      <c:valAx>
        <c:axId val="506837328"/>
        <c:scaling>
          <c:orientation val="minMax"/>
          <c:min val="50000"/>
        </c:scaling>
        <c:delete val="0"/>
        <c:axPos val="l"/>
        <c:numFmt formatCode="&quot;$&quot;0,\K"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823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[02_sales_data_analysis_power_query.xlsx]revenue_by_products(chart)!PivotTable6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Profit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'revenue_by_products(chart)'!$K$3</c:f>
              <c:strCache>
                <c:ptCount val="1"/>
                <c:pt idx="0">
                  <c:v>Total</c:v>
                </c:pt>
              </c:strCache>
            </c:strRef>
          </c:tx>
          <c:spPr>
            <a:solidFill>
              <a:schemeClr val="accent1"/>
            </a:solidFill>
            <a:ln>
              <a:noFill/>
            </a:ln>
            <a:effectLst/>
          </c:spPr>
          <c:invertIfNegative val="0"/>
          <c:cat>
            <c:strRef>
              <c:f>'revenue_by_products(chart)'!$J$4:$J$14</c:f>
              <c:strCache>
                <c:ptCount val="10"/>
                <c:pt idx="0">
                  <c:v>Gaming Laptop 16</c:v>
                </c:pt>
                <c:pt idx="1">
                  <c:v>Business Laptop 15</c:v>
                </c:pt>
                <c:pt idx="2">
                  <c:v>Ultrabook 14</c:v>
                </c:pt>
                <c:pt idx="3">
                  <c:v>Noise-Cancel Headset</c:v>
                </c:pt>
                <c:pt idx="4">
                  <c:v>Conference Mic</c:v>
                </c:pt>
                <c:pt idx="5">
                  <c:v>34in Ultrawide</c:v>
                </c:pt>
                <c:pt idx="6">
                  <c:v>Portable Monitor</c:v>
                </c:pt>
                <c:pt idx="7">
                  <c:v>27in Monitor</c:v>
                </c:pt>
                <c:pt idx="8">
                  <c:v>Document Scanner</c:v>
                </c:pt>
                <c:pt idx="9">
                  <c:v>Desk Speakers</c:v>
                </c:pt>
              </c:strCache>
            </c:strRef>
          </c:cat>
          <c:val>
            <c:numRef>
              <c:f>'revenue_by_products(chart)'!$K$4:$K$14</c:f>
              <c:numCache>
                <c:formatCode>"$"#,##0</c:formatCode>
                <c:ptCount val="10"/>
                <c:pt idx="0">
                  <c:v>59225</c:v>
                </c:pt>
                <c:pt idx="1">
                  <c:v>31042.5</c:v>
                </c:pt>
                <c:pt idx="2">
                  <c:v>27077.5</c:v>
                </c:pt>
                <c:pt idx="3">
                  <c:v>12600</c:v>
                </c:pt>
                <c:pt idx="4">
                  <c:v>12279</c:v>
                </c:pt>
                <c:pt idx="5">
                  <c:v>12184</c:v>
                </c:pt>
                <c:pt idx="6">
                  <c:v>12090</c:v>
                </c:pt>
                <c:pt idx="7">
                  <c:v>12090</c:v>
                </c:pt>
                <c:pt idx="8">
                  <c:v>8896</c:v>
                </c:pt>
                <c:pt idx="9">
                  <c:v>7959.25</c:v>
                </c:pt>
              </c:numCache>
            </c:numRef>
          </c:val>
          <c:extLst>
            <c:ext xmlns:c16="http://schemas.microsoft.com/office/drawing/2014/chart" uri="{C3380CC4-5D6E-409C-BE32-E72D297353CC}">
              <c16:uniqueId val="{00000000-7C19-4C6D-B447-BB68AC4C4CBA}"/>
            </c:ext>
          </c:extLst>
        </c:ser>
        <c:dLbls>
          <c:showLegendKey val="0"/>
          <c:showVal val="0"/>
          <c:showCatName val="0"/>
          <c:showSerName val="0"/>
          <c:showPercent val="0"/>
          <c:showBubbleSize val="0"/>
        </c:dLbls>
        <c:gapWidth val="219"/>
        <c:overlap val="-27"/>
        <c:axId val="1185681440"/>
        <c:axId val="1185698240"/>
      </c:barChart>
      <c:catAx>
        <c:axId val="118568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98240"/>
        <c:crosses val="autoZero"/>
        <c:auto val="1"/>
        <c:lblAlgn val="ctr"/>
        <c:lblOffset val="100"/>
        <c:noMultiLvlLbl val="0"/>
      </c:catAx>
      <c:valAx>
        <c:axId val="1185698240"/>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8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[02_sales_data_analysis_power_query.xlsx]revenue_by_products(chart)!PivotTable22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solidFill>
                  <a:sysClr val="windowText" lastClr="000000"/>
                </a:solidFill>
              </a:rPr>
              <a:t>Category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c:spPr>
        <c:dLbl>
          <c:idx val="0"/>
          <c:layout>
            <c:manualLayout>
              <c:x val="0.13183131371728765"/>
              <c:y val="1.0325418827581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c:spPr>
        <c:dLbl>
          <c:idx val="0"/>
          <c:layout>
            <c:manualLayout>
              <c:x val="-0.25955733313610974"/>
              <c:y val="2.6505838202649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B4163E53-0021-4660-9B7C-F18DC5668511}" type="CATEGORYNAME">
                  <a:rPr lang="en-US">
                    <a:solidFill>
                      <a:sysClr val="windowText" lastClr="000000"/>
                    </a:solidFill>
                  </a:rPr>
                  <a:pPr>
                    <a:defRPr>
                      <a:solidFill>
                        <a:sysClr val="windowText" lastClr="000000"/>
                      </a:solidFill>
                    </a:defRPr>
                  </a:pPr>
                  <a:t>[CATEGORY NAME]</a:t>
                </a:fld>
                <a:r>
                  <a:rPr lang="en-US" baseline="0">
                    <a:solidFill>
                      <a:sysClr val="windowText" lastClr="000000"/>
                    </a:solidFill>
                  </a:rPr>
                  <a:t>
</a:t>
                </a:r>
                <a:fld id="{65634299-0DD4-4120-9A4B-2ACB2AAC3D17}" type="PERCENTAGE">
                  <a:rPr lang="en-US" baseline="0">
                    <a:solidFill>
                      <a:sysClr val="windowText" lastClr="000000"/>
                    </a:solidFill>
                  </a:rPr>
                  <a:pPr>
                    <a:defRPr>
                      <a:solidFill>
                        <a:sysClr val="windowText" lastClr="000000"/>
                      </a:solidFill>
                    </a:defRPr>
                  </a:pPr>
                  <a:t>[PERCENTAGE]</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fld id="{1B448BBB-45DF-4D13-B5BE-95570845BC54}" type="CATEGORYNAME">
                  <a:rPr lang="en-US">
                    <a:solidFill>
                      <a:sysClr val="windowText" lastClr="000000"/>
                    </a:solidFill>
                  </a:rPr>
                  <a:pPr>
                    <a:defRPr>
                      <a:solidFill>
                        <a:sysClr val="windowText" lastClr="000000"/>
                      </a:solidFill>
                    </a:defRPr>
                  </a:pPr>
                  <a:t>[CATEGORY NAME]</a:t>
                </a:fld>
                <a:r>
                  <a:rPr lang="en-US" baseline="0">
                    <a:solidFill>
                      <a:sysClr val="windowText" lastClr="000000"/>
                    </a:solidFill>
                  </a:rPr>
                  <a:t>
</a:t>
                </a:r>
                <a:fld id="{57CB43CB-BD32-403A-91A4-23660D2FF498}" type="PERCENTAGE">
                  <a:rPr lang="en-US" baseline="0">
                    <a:solidFill>
                      <a:sysClr val="windowText" lastClr="000000"/>
                    </a:solidFill>
                  </a:rPr>
                  <a:pPr>
                    <a:defRPr>
                      <a:solidFill>
                        <a:sysClr val="windowText" lastClr="000000"/>
                      </a:solidFill>
                    </a:defRPr>
                  </a:pPr>
                  <a:t>[PERCENTAGE]</a:t>
                </a:fld>
                <a:endParaRPr lang="en-US" baseline="0">
                  <a:solidFill>
                    <a:sysClr val="windowText" lastClr="000000"/>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'revenue_by_products(chart)'!$P$17</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2-9826-4D2B-ABE5-5D63299C15AC}"/>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5-9826-4D2B-ABE5-5D63299C15AC}"/>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4-9826-4D2B-ABE5-5D63299C15AC}"/>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9826-4D2B-ABE5-5D63299C15AC}"/>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3-9826-4D2B-ABE5-5D63299C15AC}"/>
              </c:ext>
            </c:extLst>
          </c:dPt>
          <c:dLbls>
            <c:dLbl>
              <c:idx val="0"/>
              <c:layout>
                <c:manualLayout>
                  <c:x val="0.13183131371728765"/>
                  <c:y val="1.032541882758140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826-4D2B-ABE5-5D63299C15AC}"/>
                </c:ext>
              </c:extLst>
            </c:dLbl>
            <c:dLbl>
              <c:idx val="1"/>
              <c:tx>
                <c:rich>
                  <a:bodyPr/>
                  <a:lstStyle/>
                  <a:p>
                    <a:fld id="{B4163E53-0021-4660-9B7C-F18DC5668511}" type="CATEGORYNAME">
                      <a:rPr lang="en-US">
                        <a:solidFill>
                          <a:sysClr val="windowText" lastClr="000000"/>
                        </a:solidFill>
                      </a:rPr>
                      <a:pPr/>
                      <a:t>[CATEGORY NAME]</a:t>
                    </a:fld>
                    <a:r>
                      <a:rPr lang="en-US" baseline="0">
                        <a:solidFill>
                          <a:sysClr val="windowText" lastClr="000000"/>
                        </a:solidFill>
                      </a:rPr>
                      <a:t>
</a:t>
                    </a:r>
                    <a:fld id="{65634299-0DD4-4120-9A4B-2ACB2AAC3D17}" type="PERCENTAGE">
                      <a:rPr lang="en-US" baseline="0">
                        <a:solidFill>
                          <a:sysClr val="windowText" lastClr="000000"/>
                        </a:solidFill>
                      </a:rPr>
                      <a:pPr/>
                      <a:t>[PERCENTAGE]</a:t>
                    </a:fld>
                    <a:endParaRPr lang="en-US" baseline="0">
                      <a:solidFill>
                        <a:sysClr val="windowText" lastClr="00000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826-4D2B-ABE5-5D63299C15AC}"/>
                </c:ext>
              </c:extLst>
            </c:dLbl>
            <c:dLbl>
              <c:idx val="3"/>
              <c:tx>
                <c:rich>
                  <a:bodyPr/>
                  <a:lstStyle/>
                  <a:p>
                    <a:fld id="{1B448BBB-45DF-4D13-B5BE-95570845BC54}" type="CATEGORYNAME">
                      <a:rPr lang="en-US">
                        <a:solidFill>
                          <a:sysClr val="windowText" lastClr="000000"/>
                        </a:solidFill>
                      </a:rPr>
                      <a:pPr/>
                      <a:t>[CATEGORY NAME]</a:t>
                    </a:fld>
                    <a:r>
                      <a:rPr lang="en-US" baseline="0">
                        <a:solidFill>
                          <a:sysClr val="windowText" lastClr="000000"/>
                        </a:solidFill>
                      </a:rPr>
                      <a:t>
</a:t>
                    </a:r>
                    <a:fld id="{57CB43CB-BD32-403A-91A4-23660D2FF498}" type="PERCENTAGE">
                      <a:rPr lang="en-US" baseline="0">
                        <a:solidFill>
                          <a:sysClr val="windowText" lastClr="000000"/>
                        </a:solidFill>
                      </a:rPr>
                      <a:pPr/>
                      <a:t>[PERCENTAGE]</a:t>
                    </a:fld>
                    <a:endParaRPr lang="en-US" baseline="0">
                      <a:solidFill>
                        <a:sysClr val="windowText" lastClr="000000"/>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9826-4D2B-ABE5-5D63299C15AC}"/>
                </c:ext>
              </c:extLst>
            </c:dLbl>
            <c:dLbl>
              <c:idx val="4"/>
              <c:layout>
                <c:manualLayout>
                  <c:x val="-0.25955733313610974"/>
                  <c:y val="2.650583820264983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826-4D2B-ABE5-5D63299C15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'revenue_by_products(chart)'!$O$18:$O$23</c:f>
              <c:strCache>
                <c:ptCount val="5"/>
                <c:pt idx="0">
                  <c:v>Accessories</c:v>
                </c:pt>
                <c:pt idx="1">
                  <c:v>Audio</c:v>
                </c:pt>
                <c:pt idx="2">
                  <c:v>Displays</c:v>
                </c:pt>
                <c:pt idx="3">
                  <c:v>Laptops</c:v>
                </c:pt>
                <c:pt idx="4">
                  <c:v>Peripherals</c:v>
                </c:pt>
              </c:strCache>
            </c:strRef>
          </c:cat>
          <c:val>
            <c:numRef>
              <c:f>'revenue_by_products(chart)'!$P$18:$P$23</c:f>
              <c:numCache>
                <c:formatCode>"$"#,##0</c:formatCode>
                <c:ptCount val="5"/>
                <c:pt idx="0">
                  <c:v>16483.8</c:v>
                </c:pt>
                <c:pt idx="1">
                  <c:v>81980.25</c:v>
                </c:pt>
                <c:pt idx="2">
                  <c:v>156214</c:v>
                </c:pt>
                <c:pt idx="3">
                  <c:v>768485</c:v>
                </c:pt>
                <c:pt idx="4">
                  <c:v>35675.5</c:v>
                </c:pt>
              </c:numCache>
            </c:numRef>
          </c:val>
          <c:extLst>
            <c:ext xmlns:c16="http://schemas.microsoft.com/office/drawing/2014/chart" uri="{C3380CC4-5D6E-409C-BE32-E72D297353CC}">
              <c16:uniqueId val="{00000000-9826-4D2B-ABE5-5D63299C15AC}"/>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[02_sales_data_analysis_power_query.xlsx]revenue_by_products(chart)!PivotTable1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 Product Category and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'revenue_by_products(chart)'!$I$17:$I$18</c:f>
              <c:strCache>
                <c:ptCount val="1"/>
                <c:pt idx="0">
                  <c:v>Online</c:v>
                </c:pt>
              </c:strCache>
            </c:strRef>
          </c:tx>
          <c:spPr>
            <a:solidFill>
              <a:schemeClr val="accent1"/>
            </a:solidFill>
            <a:ln>
              <a:noFill/>
            </a:ln>
            <a:effectLst/>
          </c:spPr>
          <c:invertIfNegative val="0"/>
          <c:cat>
            <c:strRef>
              <c:f>'revenue_by_products(chart)'!$H$19:$H$24</c:f>
              <c:strCache>
                <c:ptCount val="5"/>
                <c:pt idx="0">
                  <c:v>Laptops</c:v>
                </c:pt>
                <c:pt idx="1">
                  <c:v>Displays</c:v>
                </c:pt>
                <c:pt idx="2">
                  <c:v>Audio</c:v>
                </c:pt>
                <c:pt idx="3">
                  <c:v>Peripherals</c:v>
                </c:pt>
                <c:pt idx="4">
                  <c:v>Accessories</c:v>
                </c:pt>
              </c:strCache>
            </c:strRef>
          </c:cat>
          <c:val>
            <c:numRef>
              <c:f>'revenue_by_products(chart)'!$I$19:$I$24</c:f>
              <c:numCache>
                <c:formatCode>"$"#,##0</c:formatCode>
                <c:ptCount val="5"/>
                <c:pt idx="0">
                  <c:v>350905</c:v>
                </c:pt>
                <c:pt idx="1">
                  <c:v>42525</c:v>
                </c:pt>
                <c:pt idx="2">
                  <c:v>21422</c:v>
                </c:pt>
                <c:pt idx="3">
                  <c:v>11662</c:v>
                </c:pt>
                <c:pt idx="4">
                  <c:v>7404.4500000000007</c:v>
                </c:pt>
              </c:numCache>
            </c:numRef>
          </c:val>
          <c:extLst>
            <c:ext xmlns:c16="http://schemas.microsoft.com/office/drawing/2014/chart" uri="{C3380CC4-5D6E-409C-BE32-E72D297353CC}">
              <c16:uniqueId val="{00000000-91A4-437F-9A7A-319D7E2F338B}"/>
            </c:ext>
          </c:extLst>
        </c:ser>
        <c:ser>
          <c:idx val="1"/>
          <c:order val="1"/>
          <c:tx>
            <c:strRef>
              <c:f>'revenue_by_products(chart)'!$J$17:$J$18</c:f>
              <c:strCache>
                <c:ptCount val="1"/>
                <c:pt idx="0">
                  <c:v>Retail</c:v>
                </c:pt>
              </c:strCache>
            </c:strRef>
          </c:tx>
          <c:spPr>
            <a:solidFill>
              <a:schemeClr val="accent2"/>
            </a:solidFill>
            <a:ln>
              <a:noFill/>
            </a:ln>
            <a:effectLst/>
          </c:spPr>
          <c:invertIfNegative val="0"/>
          <c:cat>
            <c:strRef>
              <c:f>'revenue_by_products(chart)'!$H$19:$H$24</c:f>
              <c:strCache>
                <c:ptCount val="5"/>
                <c:pt idx="0">
                  <c:v>Laptops</c:v>
                </c:pt>
                <c:pt idx="1">
                  <c:v>Displays</c:v>
                </c:pt>
                <c:pt idx="2">
                  <c:v>Audio</c:v>
                </c:pt>
                <c:pt idx="3">
                  <c:v>Peripherals</c:v>
                </c:pt>
                <c:pt idx="4">
                  <c:v>Accessories</c:v>
                </c:pt>
              </c:strCache>
            </c:strRef>
          </c:cat>
          <c:val>
            <c:numRef>
              <c:f>'revenue_by_products(chart)'!$J$19:$J$24</c:f>
              <c:numCache>
                <c:formatCode>"$"#,##0</c:formatCode>
                <c:ptCount val="5"/>
                <c:pt idx="0">
                  <c:v>259590</c:v>
                </c:pt>
                <c:pt idx="1">
                  <c:v>65262</c:v>
                </c:pt>
                <c:pt idx="2">
                  <c:v>38286.5</c:v>
                </c:pt>
                <c:pt idx="3">
                  <c:v>12796</c:v>
                </c:pt>
                <c:pt idx="4">
                  <c:v>3605</c:v>
                </c:pt>
              </c:numCache>
            </c:numRef>
          </c:val>
          <c:extLst>
            <c:ext xmlns:c16="http://schemas.microsoft.com/office/drawing/2014/chart" uri="{C3380CC4-5D6E-409C-BE32-E72D297353CC}">
              <c16:uniqueId val="{00000001-91A4-437F-9A7A-319D7E2F338B}"/>
            </c:ext>
          </c:extLst>
        </c:ser>
        <c:ser>
          <c:idx val="2"/>
          <c:order val="2"/>
          <c:tx>
            <c:strRef>
              <c:f>'revenue_by_products(chart)'!$K$17:$K$18</c:f>
              <c:strCache>
                <c:ptCount val="1"/>
                <c:pt idx="0">
                  <c:v>Partner</c:v>
                </c:pt>
              </c:strCache>
            </c:strRef>
          </c:tx>
          <c:spPr>
            <a:solidFill>
              <a:schemeClr val="accent3"/>
            </a:solidFill>
            <a:ln>
              <a:noFill/>
            </a:ln>
            <a:effectLst/>
          </c:spPr>
          <c:invertIfNegative val="0"/>
          <c:cat>
            <c:strRef>
              <c:f>'revenue_by_products(chart)'!$H$19:$H$24</c:f>
              <c:strCache>
                <c:ptCount val="5"/>
                <c:pt idx="0">
                  <c:v>Laptops</c:v>
                </c:pt>
                <c:pt idx="1">
                  <c:v>Displays</c:v>
                </c:pt>
                <c:pt idx="2">
                  <c:v>Audio</c:v>
                </c:pt>
                <c:pt idx="3">
                  <c:v>Peripherals</c:v>
                </c:pt>
                <c:pt idx="4">
                  <c:v>Accessories</c:v>
                </c:pt>
              </c:strCache>
            </c:strRef>
          </c:cat>
          <c:val>
            <c:numRef>
              <c:f>'revenue_by_products(chart)'!$K$19:$K$24</c:f>
              <c:numCache>
                <c:formatCode>"$"#,##0</c:formatCode>
                <c:ptCount val="5"/>
                <c:pt idx="0">
                  <c:v>157990</c:v>
                </c:pt>
                <c:pt idx="1">
                  <c:v>48427</c:v>
                </c:pt>
                <c:pt idx="2">
                  <c:v>22271.75</c:v>
                </c:pt>
                <c:pt idx="3">
                  <c:v>11217.5</c:v>
                </c:pt>
                <c:pt idx="4">
                  <c:v>5474.35</c:v>
                </c:pt>
              </c:numCache>
            </c:numRef>
          </c:val>
          <c:extLst>
            <c:ext xmlns:c16="http://schemas.microsoft.com/office/drawing/2014/chart" uri="{C3380CC4-5D6E-409C-BE32-E72D297353CC}">
              <c16:uniqueId val="{00000002-91A4-437F-9A7A-319D7E2F338B}"/>
            </c:ext>
          </c:extLst>
        </c:ser>
        <c:dLbls>
          <c:showLegendKey val="0"/>
          <c:showVal val="0"/>
          <c:showCatName val="0"/>
          <c:showSerName val="0"/>
          <c:showPercent val="0"/>
          <c:showBubbleSize val="0"/>
        </c:dLbls>
        <c:gapWidth val="219"/>
        <c:overlap val="-27"/>
        <c:axId val="1284773903"/>
        <c:axId val="1284774863"/>
      </c:barChart>
      <c:catAx>
        <c:axId val="128477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74863"/>
        <c:crosses val="autoZero"/>
        <c:auto val="1"/>
        <c:lblAlgn val="ctr"/>
        <c:lblOffset val="100"/>
        <c:noMultiLvlLbl val="0"/>
      </c:catAx>
      <c:valAx>
        <c:axId val="1284774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7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[02_sales_data_analysis_power_query.xlsx]profit_by_salesperson(chart)!PivotTable23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By Salespeople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'profit_by_salesperson(chart)'!$C$3</c:f>
              <c:strCache>
                <c:ptCount val="1"/>
                <c:pt idx="0">
                  <c:v>Total</c:v>
                </c:pt>
              </c:strCache>
            </c:strRef>
          </c:tx>
          <c:spPr>
            <a:solidFill>
              <a:schemeClr val="accent1"/>
            </a:solidFill>
            <a:ln>
              <a:noFill/>
            </a:ln>
            <a:effectLst/>
          </c:spPr>
          <c:invertIfNegative val="0"/>
          <c:cat>
            <c:strRef>
              <c:f>'profit_by_salesperson(chart)'!$B$4:$B$14</c:f>
              <c:strCache>
                <c:ptCount val="10"/>
                <c:pt idx="0">
                  <c:v>Fatima Noor</c:v>
                </c:pt>
                <c:pt idx="1">
                  <c:v>Aisha Khan</c:v>
                </c:pt>
                <c:pt idx="2">
                  <c:v>Jamal Edwards</c:v>
                </c:pt>
                <c:pt idx="3">
                  <c:v>Isabela Rocha</c:v>
                </c:pt>
                <c:pt idx="4">
                  <c:v>Hiro Tanaka</c:v>
                </c:pt>
                <c:pt idx="5">
                  <c:v>Chen Wei</c:v>
                </c:pt>
                <c:pt idx="6">
                  <c:v>Diana Lopez</c:v>
                </c:pt>
                <c:pt idx="7">
                  <c:v>Bruno Costa</c:v>
                </c:pt>
                <c:pt idx="8">
                  <c:v>Grace Mwangi</c:v>
                </c:pt>
                <c:pt idx="9">
                  <c:v>Ethan Brooks</c:v>
                </c:pt>
              </c:strCache>
            </c:strRef>
          </c:cat>
          <c:val>
            <c:numRef>
              <c:f>'profit_by_salesperson(chart)'!$C$4:$C$14</c:f>
              <c:numCache>
                <c:formatCode>"$"#,##0</c:formatCode>
                <c:ptCount val="10"/>
                <c:pt idx="0">
                  <c:v>50459</c:v>
                </c:pt>
                <c:pt idx="1">
                  <c:v>58956</c:v>
                </c:pt>
                <c:pt idx="2">
                  <c:v>66944.5</c:v>
                </c:pt>
                <c:pt idx="3">
                  <c:v>78493.5</c:v>
                </c:pt>
                <c:pt idx="4">
                  <c:v>88023.4</c:v>
                </c:pt>
                <c:pt idx="5">
                  <c:v>105455.05</c:v>
                </c:pt>
                <c:pt idx="6">
                  <c:v>132601</c:v>
                </c:pt>
                <c:pt idx="7">
                  <c:v>139809.5</c:v>
                </c:pt>
                <c:pt idx="8">
                  <c:v>144780.1</c:v>
                </c:pt>
                <c:pt idx="9">
                  <c:v>193316.5</c:v>
                </c:pt>
              </c:numCache>
            </c:numRef>
          </c:val>
          <c:extLst>
            <c:ext xmlns:c16="http://schemas.microsoft.com/office/drawing/2014/chart" uri="{C3380CC4-5D6E-409C-BE32-E72D297353CC}">
              <c16:uniqueId val="{00000000-5D2E-4D24-802D-035ED463BD06}"/>
            </c:ext>
          </c:extLst>
        </c:ser>
        <c:dLbls>
          <c:showLegendKey val="0"/>
          <c:showVal val="0"/>
          <c:showCatName val="0"/>
          <c:showSerName val="0"/>
          <c:showPercent val="0"/>
          <c:showBubbleSize val="0"/>
        </c:dLbls>
        <c:gapWidth val="182"/>
        <c:axId val="1185624800"/>
        <c:axId val="1185630560"/>
      </c:barChart>
      <c:catAx>
        <c:axId val="11856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30560"/>
        <c:crosses val="autoZero"/>
        <c:auto val="1"/>
        <c:lblAlgn val="ctr"/>
        <c:lblOffset val="100"/>
        <c:noMultiLvlLbl val="0"/>
      </c:catAx>
      <c:valAx>
        <c:axId val="1185630560"/>
        <c:scaling>
          <c:orientation val="minMax"/>
          <c:max val="200000"/>
          <c:min val="40000"/>
        </c:scaling>
        <c:delete val="0"/>
        <c:axPos val="b"/>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2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[02_sales_data_analysis_power_query.xlsx]profit_by_salesperson(chart)!PivotTable25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Profit Made by</a:t>
            </a:r>
            <a:r>
              <a:rPr lang="en-US" b="1" baseline="0">
                <a:solidFill>
                  <a:sysClr val="windowText" lastClr="000000"/>
                </a:solidFill>
              </a:rPr>
              <a:t> Sale Person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'profit_by_salesperson(chart)'!$C$19</c:f>
              <c:strCache>
                <c:ptCount val="1"/>
                <c:pt idx="0">
                  <c:v>Total</c:v>
                </c:pt>
              </c:strCache>
            </c:strRef>
          </c:tx>
          <c:spPr>
            <a:solidFill>
              <a:schemeClr val="accent1"/>
            </a:solidFill>
            <a:ln>
              <a:noFill/>
            </a:ln>
            <a:effectLst/>
          </c:spPr>
          <c:invertIfNegative val="0"/>
          <c:cat>
            <c:strRef>
              <c:f>'profit_by_salesperson(chart)'!$B$20:$B$30</c:f>
              <c:strCache>
                <c:ptCount val="10"/>
                <c:pt idx="0">
                  <c:v>Ethan Brooks</c:v>
                </c:pt>
                <c:pt idx="1">
                  <c:v>Grace Mwangi</c:v>
                </c:pt>
                <c:pt idx="2">
                  <c:v>Diana Lopez</c:v>
                </c:pt>
                <c:pt idx="3">
                  <c:v>Chen Wei</c:v>
                </c:pt>
                <c:pt idx="4">
                  <c:v>Bruno Costa</c:v>
                </c:pt>
                <c:pt idx="5">
                  <c:v>Hiro Tanaka</c:v>
                </c:pt>
                <c:pt idx="6">
                  <c:v>Isabela Rocha</c:v>
                </c:pt>
                <c:pt idx="7">
                  <c:v>Jamal Edwards</c:v>
                </c:pt>
                <c:pt idx="8">
                  <c:v>Fatima Noor</c:v>
                </c:pt>
                <c:pt idx="9">
                  <c:v>Aisha Khan</c:v>
                </c:pt>
              </c:strCache>
            </c:strRef>
          </c:cat>
          <c:val>
            <c:numRef>
              <c:f>'profit_by_salesperson(chart)'!$C$20:$C$30</c:f>
              <c:numCache>
                <c:formatCode>"$"#,##0</c:formatCode>
                <c:ptCount val="10"/>
                <c:pt idx="0">
                  <c:v>28785.5</c:v>
                </c:pt>
                <c:pt idx="1">
                  <c:v>27143.1</c:v>
                </c:pt>
                <c:pt idx="2">
                  <c:v>26506</c:v>
                </c:pt>
                <c:pt idx="3">
                  <c:v>24576.05</c:v>
                </c:pt>
                <c:pt idx="4">
                  <c:v>23318.5</c:v>
                </c:pt>
                <c:pt idx="5">
                  <c:v>21694.400000000001</c:v>
                </c:pt>
                <c:pt idx="6">
                  <c:v>19175.5</c:v>
                </c:pt>
                <c:pt idx="7">
                  <c:v>13778.5</c:v>
                </c:pt>
                <c:pt idx="8">
                  <c:v>13459</c:v>
                </c:pt>
                <c:pt idx="9">
                  <c:v>9454</c:v>
                </c:pt>
              </c:numCache>
            </c:numRef>
          </c:val>
          <c:extLst>
            <c:ext xmlns:c16="http://schemas.microsoft.com/office/drawing/2014/chart" uri="{C3380CC4-5D6E-409C-BE32-E72D297353CC}">
              <c16:uniqueId val="{00000000-A878-4C62-B58E-7D819A2E05D3}"/>
            </c:ext>
          </c:extLst>
        </c:ser>
        <c:dLbls>
          <c:showLegendKey val="0"/>
          <c:showVal val="0"/>
          <c:showCatName val="0"/>
          <c:showSerName val="0"/>
          <c:showPercent val="0"/>
          <c:showBubbleSize val="0"/>
        </c:dLbls>
        <c:gapWidth val="219"/>
        <c:overlap val="-27"/>
        <c:axId val="1185646400"/>
        <c:axId val="1185647840"/>
      </c:barChart>
      <c:catAx>
        <c:axId val="118564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47840"/>
        <c:crosses val="autoZero"/>
        <c:auto val="1"/>
        <c:lblAlgn val="ctr"/>
        <c:lblOffset val="100"/>
        <c:noMultiLvlLbl val="0"/>
      </c:catAx>
      <c:valAx>
        <c:axId val="1185647840"/>
        <c:scaling>
          <c:orientation val="minMax"/>
          <c:min val="5000"/>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4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[02_sales_data_analysis_power_query.xlsx]profit_by_salesperson(chart)!PivotTable26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No. Of Products Sold</a:t>
            </a:r>
            <a:r>
              <a:rPr lang="en-US" b="1" baseline="0">
                <a:solidFill>
                  <a:sysClr val="windowText" lastClr="000000"/>
                </a:solidFill>
              </a:rPr>
              <a:t> By Salesperson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'profit_by_salesperson(chart)'!$L$3</c:f>
              <c:strCache>
                <c:ptCount val="1"/>
                <c:pt idx="0">
                  <c:v>Total</c:v>
                </c:pt>
              </c:strCache>
            </c:strRef>
          </c:tx>
          <c:spPr>
            <a:solidFill>
              <a:schemeClr val="accent1"/>
            </a:solidFill>
            <a:ln>
              <a:noFill/>
            </a:ln>
            <a:effectLst/>
          </c:spPr>
          <c:invertIfNegative val="0"/>
          <c:cat>
            <c:strRef>
              <c:f>'profit_by_salesperson(chart)'!$K$4:$K$14</c:f>
              <c:strCache>
                <c:ptCount val="10"/>
                <c:pt idx="0">
                  <c:v>Diana Lopez</c:v>
                </c:pt>
                <c:pt idx="1">
                  <c:v>Grace Mwangi</c:v>
                </c:pt>
                <c:pt idx="2">
                  <c:v>Chen Wei</c:v>
                </c:pt>
                <c:pt idx="3">
                  <c:v>Ethan Brooks</c:v>
                </c:pt>
                <c:pt idx="4">
                  <c:v>Hiro Tanaka</c:v>
                </c:pt>
                <c:pt idx="5">
                  <c:v>Isabela Rocha</c:v>
                </c:pt>
                <c:pt idx="6">
                  <c:v>Bruno Costa</c:v>
                </c:pt>
                <c:pt idx="7">
                  <c:v>Fatima Noor</c:v>
                </c:pt>
                <c:pt idx="8">
                  <c:v>Jamal Edwards</c:v>
                </c:pt>
                <c:pt idx="9">
                  <c:v>Aisha Khan</c:v>
                </c:pt>
              </c:strCache>
            </c:strRef>
          </c:cat>
          <c:val>
            <c:numRef>
              <c:f>'profit_by_salesperson(chart)'!$L$4:$L$14</c:f>
              <c:numCache>
                <c:formatCode>General</c:formatCode>
                <c:ptCount val="10"/>
                <c:pt idx="0">
                  <c:v>28</c:v>
                </c:pt>
                <c:pt idx="1">
                  <c:v>24</c:v>
                </c:pt>
                <c:pt idx="2">
                  <c:v>24</c:v>
                </c:pt>
                <c:pt idx="3">
                  <c:v>23</c:v>
                </c:pt>
                <c:pt idx="4">
                  <c:v>22</c:v>
                </c:pt>
                <c:pt idx="5">
                  <c:v>20</c:v>
                </c:pt>
                <c:pt idx="6">
                  <c:v>20</c:v>
                </c:pt>
                <c:pt idx="7">
                  <c:v>15</c:v>
                </c:pt>
                <c:pt idx="8">
                  <c:v>12</c:v>
                </c:pt>
                <c:pt idx="9">
                  <c:v>12</c:v>
                </c:pt>
              </c:numCache>
            </c:numRef>
          </c:val>
          <c:extLst>
            <c:ext xmlns:c16="http://schemas.microsoft.com/office/drawing/2014/chart" uri="{C3380CC4-5D6E-409C-BE32-E72D297353CC}">
              <c16:uniqueId val="{00000000-77C5-4E8F-BBB3-69498CEC4131}"/>
            </c:ext>
          </c:extLst>
        </c:ser>
        <c:dLbls>
          <c:showLegendKey val="0"/>
          <c:showVal val="0"/>
          <c:showCatName val="0"/>
          <c:showSerName val="0"/>
          <c:showPercent val="0"/>
          <c:showBubbleSize val="0"/>
        </c:dLbls>
        <c:gapWidth val="219"/>
        <c:overlap val="-27"/>
        <c:axId val="1185696320"/>
        <c:axId val="1185680000"/>
      </c:barChart>
      <c:catAx>
        <c:axId val="118569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80000"/>
        <c:crosses val="autoZero"/>
        <c:auto val="1"/>
        <c:lblAlgn val="ctr"/>
        <c:lblOffset val="100"/>
        <c:noMultiLvlLbl val="0"/>
      </c:catAx>
      <c:valAx>
        <c:axId val="1185680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9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[02_sales_data_analysis_power_query.xlsx]revenue_analysis_slicer!PivotTable27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Revenue &amp; Product Sold count by Product Catergory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revenue_analysis_slicer!$B$3</c:f>
              <c:strCache>
                <c:ptCount val="1"/>
                <c:pt idx="0">
                  <c:v>Sum of Revenue</c:v>
                </c:pt>
              </c:strCache>
            </c:strRef>
          </c:tx>
          <c:spPr>
            <a:solidFill>
              <a:schemeClr val="accent1"/>
            </a:solidFill>
            <a:ln>
              <a:noFill/>
            </a:ln>
            <a:effectLst/>
          </c:spPr>
          <c:invertIfNegative val="0"/>
          <c:cat>
            <c:strRef>
              <c:f>revenue_analysis_slicer!$A$4:$A$14</c:f>
              <c:strCache>
                <c:ptCount val="10"/>
                <c:pt idx="0">
                  <c:v>Gaming Laptop 16</c:v>
                </c:pt>
                <c:pt idx="1">
                  <c:v>Business Laptop 15</c:v>
                </c:pt>
                <c:pt idx="2">
                  <c:v>Ultrabook 14</c:v>
                </c:pt>
                <c:pt idx="3">
                  <c:v>34in Ultrawide</c:v>
                </c:pt>
                <c:pt idx="4">
                  <c:v>27in Monitor</c:v>
                </c:pt>
                <c:pt idx="5">
                  <c:v>Portable Monitor</c:v>
                </c:pt>
                <c:pt idx="6">
                  <c:v>Noise-Cancel Headset</c:v>
                </c:pt>
                <c:pt idx="7">
                  <c:v>Conference Mic</c:v>
                </c:pt>
                <c:pt idx="8">
                  <c:v>Document Scanner</c:v>
                </c:pt>
                <c:pt idx="9">
                  <c:v>Desk Speakers</c:v>
                </c:pt>
              </c:strCache>
            </c:strRef>
          </c:cat>
          <c:val>
            <c:numRef>
              <c:f>revenue_analysis_slicer!$B$4:$B$14</c:f>
              <c:numCache>
                <c:formatCode>"$"#,##0</c:formatCode>
                <c:ptCount val="10"/>
                <c:pt idx="0">
                  <c:v>421925</c:v>
                </c:pt>
                <c:pt idx="1">
                  <c:v>199762.5</c:v>
                </c:pt>
                <c:pt idx="2">
                  <c:v>146797.5</c:v>
                </c:pt>
                <c:pt idx="3">
                  <c:v>74464</c:v>
                </c:pt>
                <c:pt idx="4">
                  <c:v>44040</c:v>
                </c:pt>
                <c:pt idx="5">
                  <c:v>37710</c:v>
                </c:pt>
                <c:pt idx="6">
                  <c:v>36960</c:v>
                </c:pt>
                <c:pt idx="7">
                  <c:v>27469</c:v>
                </c:pt>
                <c:pt idx="8">
                  <c:v>25264</c:v>
                </c:pt>
                <c:pt idx="9">
                  <c:v>17551.25</c:v>
                </c:pt>
              </c:numCache>
            </c:numRef>
          </c:val>
          <c:extLst>
            <c:ext xmlns:c16="http://schemas.microsoft.com/office/drawing/2014/chart" uri="{C3380CC4-5D6E-409C-BE32-E72D297353CC}">
              <c16:uniqueId val="{00000000-8618-44C5-A63F-A3CCC94C13A7}"/>
            </c:ext>
          </c:extLst>
        </c:ser>
        <c:dLbls>
          <c:showLegendKey val="0"/>
          <c:showVal val="0"/>
          <c:showCatName val="0"/>
          <c:showSerName val="0"/>
          <c:showPercent val="0"/>
          <c:showBubbleSize val="0"/>
        </c:dLbls>
        <c:gapWidth val="219"/>
        <c:overlap val="-27"/>
        <c:axId val="1185627200"/>
        <c:axId val="1185633440"/>
      </c:barChart>
      <c:lineChart>
        <c:grouping val="standard"/>
        <c:varyColors val="0"/>
        <c:ser>
          <c:idx val="1"/>
          <c:order val="1"/>
          <c:tx>
            <c:strRef>
              <c:f>revenue_analysis_slicer!$C$3</c:f>
              <c:strCache>
                <c:ptCount val="1"/>
                <c:pt idx="0">
                  <c:v>Product Sold</c:v>
                </c:pt>
              </c:strCache>
            </c:strRef>
          </c:tx>
          <c:spPr>
            <a:ln w="28575" cap="rnd">
              <a:solidFill>
                <a:schemeClr val="accent2"/>
              </a:solidFill>
              <a:round/>
            </a:ln>
            <a:effectLst/>
          </c:spPr>
          <c:marker>
            <c:symbol val="none"/>
          </c:marker>
          <c:cat>
            <c:strRef>
              <c:f>revenue_analysis_slicer!$A$4:$A$14</c:f>
              <c:strCache>
                <c:ptCount val="10"/>
                <c:pt idx="0">
                  <c:v>Gaming Laptop 16</c:v>
                </c:pt>
                <c:pt idx="1">
                  <c:v>Business Laptop 15</c:v>
                </c:pt>
                <c:pt idx="2">
                  <c:v>Ultrabook 14</c:v>
                </c:pt>
                <c:pt idx="3">
                  <c:v>34in Ultrawide</c:v>
                </c:pt>
                <c:pt idx="4">
                  <c:v>27in Monitor</c:v>
                </c:pt>
                <c:pt idx="5">
                  <c:v>Portable Monitor</c:v>
                </c:pt>
                <c:pt idx="6">
                  <c:v>Noise-Cancel Headset</c:v>
                </c:pt>
                <c:pt idx="7">
                  <c:v>Conference Mic</c:v>
                </c:pt>
                <c:pt idx="8">
                  <c:v>Document Scanner</c:v>
                </c:pt>
                <c:pt idx="9">
                  <c:v>Desk Speakers</c:v>
                </c:pt>
              </c:strCache>
            </c:strRef>
          </c:cat>
          <c:val>
            <c:numRef>
              <c:f>revenue_analysis_slicer!$C$4:$C$14</c:f>
              <c:numCache>
                <c:formatCode>General</c:formatCode>
                <c:ptCount val="10"/>
                <c:pt idx="0">
                  <c:v>21</c:v>
                </c:pt>
                <c:pt idx="1">
                  <c:v>15</c:v>
                </c:pt>
                <c:pt idx="2">
                  <c:v>13</c:v>
                </c:pt>
                <c:pt idx="3">
                  <c:v>10</c:v>
                </c:pt>
                <c:pt idx="4">
                  <c:v>18</c:v>
                </c:pt>
                <c:pt idx="5">
                  <c:v>15</c:v>
                </c:pt>
                <c:pt idx="6">
                  <c:v>17</c:v>
                </c:pt>
                <c:pt idx="7">
                  <c:v>18</c:v>
                </c:pt>
                <c:pt idx="8">
                  <c:v>11</c:v>
                </c:pt>
                <c:pt idx="9">
                  <c:v>16</c:v>
                </c:pt>
              </c:numCache>
            </c:numRef>
          </c:val>
          <c:smooth val="0"/>
          <c:extLst>
            <c:ext xmlns:c16="http://schemas.microsoft.com/office/drawing/2014/chart" uri="{C3380CC4-5D6E-409C-BE32-E72D297353CC}">
              <c16:uniqueId val="{00000001-8618-44C5-A63F-A3CCC94C13A7}"/>
            </c:ext>
          </c:extLst>
        </c:ser>
        <c:dLbls>
          <c:showLegendKey val="0"/>
          <c:showVal val="0"/>
          <c:showCatName val="0"/>
          <c:showSerName val="0"/>
          <c:showPercent val="0"/>
          <c:showBubbleSize val="0"/>
        </c:dLbls>
        <c:marker val="1"/>
        <c:smooth val="0"/>
        <c:axId val="1185638720"/>
        <c:axId val="1185621920"/>
      </c:lineChart>
      <c:catAx>
        <c:axId val="118562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33440"/>
        <c:crosses val="autoZero"/>
        <c:auto val="1"/>
        <c:lblAlgn val="ctr"/>
        <c:lblOffset val="100"/>
        <c:noMultiLvlLbl val="0"/>
      </c:catAx>
      <c:valAx>
        <c:axId val="1185633440"/>
        <c:scaling>
          <c:orientation val="minMax"/>
        </c:scaling>
        <c:delete val="0"/>
        <c:axPos val="l"/>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27200"/>
        <c:crosses val="autoZero"/>
        <c:crossBetween val="between"/>
      </c:valAx>
      <c:valAx>
        <c:axId val="11856219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638720"/>
        <c:crosses val="max"/>
        <c:crossBetween val="between"/>
      </c:valAx>
      <c:catAx>
        <c:axId val="1185638720"/>
        <c:scaling>
          <c:orientation val="minMax"/>
        </c:scaling>
        <c:delete val="1"/>
        <c:axPos val="b"/>
        <c:numFmt formatCode="General" sourceLinked="1"/>
        <c:majorTickMark val="out"/>
        <c:minorTickMark val="none"/>
        <c:tickLblPos val="nextTo"/>
        <c:crossAx val="11856219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[02_sales_data_analysis_power_query.xlsx]revenue_analysis_slicer!PivotTable28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3 Product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revenue_analysis_slicer!$I$3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3ECC-40F7-B14D-6E22C67942F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ECC-40F7-B14D-6E22C67942F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3ECC-40F7-B14D-6E22C67942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revenue_analysis_slicer!$H$4:$H$7</c:f>
              <c:strCache>
                <c:ptCount val="3"/>
                <c:pt idx="0">
                  <c:v>Laptops</c:v>
                </c:pt>
                <c:pt idx="1">
                  <c:v>Displays</c:v>
                </c:pt>
                <c:pt idx="2">
                  <c:v>Audio</c:v>
                </c:pt>
              </c:strCache>
            </c:strRef>
          </c:cat>
          <c:val>
            <c:numRef>
              <c:f>revenue_analysis_slicer!$I$4:$I$7</c:f>
              <c:numCache>
                <c:formatCode>"$"#,##0</c:formatCode>
                <c:ptCount val="3"/>
                <c:pt idx="0">
                  <c:v>768485</c:v>
                </c:pt>
                <c:pt idx="1">
                  <c:v>156214</c:v>
                </c:pt>
                <c:pt idx="2">
                  <c:v>81980.25</c:v>
                </c:pt>
              </c:numCache>
            </c:numRef>
          </c:val>
          <c:extLst>
            <c:ext xmlns:c16="http://schemas.microsoft.com/office/drawing/2014/chart" uri="{C3380CC4-5D6E-409C-BE32-E72D297353CC}">
              <c16:uniqueId val="{00000000-7CAA-4FAC-96D9-1F9BE74320DB}"/>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2</xdr:col>
      <xdr:colOff>126205</xdr:colOff>
      <xdr:row>2</xdr:row>
      <xdr:rowOff>4763</xdr:rowOff>
    </xdr:from>
    <xdr:to>
      <xdr:col>7</xdr:col>
      <xdr:colOff>223838</xdr:colOff>
      <xdr:row>12</xdr:row>
      <xdr:rowOff>147639</xdr:rowOff>
    </xdr:to>
    <xdr:graphicFrame macro="">
      <xdr:nvGraphicFramePr>
        <xdr:cNvPr id="2" name="Chart 1">
          <a:extLst>
            <a:ext uri="{FF2B5EF4-FFF2-40B4-BE49-F238E27FC236}">
              <a16:creationId xmlns:a16="http://schemas.microsoft.com/office/drawing/2014/main" id="{DEE67DF2-EE18-1248-B7BF-811212DEB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24</xdr:row>
      <xdr:rowOff>47625</xdr:rowOff>
    </xdr:from>
    <xdr:to>
      <xdr:col>5</xdr:col>
      <xdr:colOff>80963</xdr:colOff>
      <xdr:row>38</xdr:row>
      <xdr:rowOff>119063</xdr:rowOff>
    </xdr:to>
    <xdr:graphicFrame macro="">
      <xdr:nvGraphicFramePr>
        <xdr:cNvPr id="3" name="Chart 2">
          <a:extLst>
            <a:ext uri="{FF2B5EF4-FFF2-40B4-BE49-F238E27FC236}">
              <a16:creationId xmlns:a16="http://schemas.microsoft.com/office/drawing/2014/main" id="{5542E6EB-881C-23A0-927A-B2451AE5F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11</xdr:col>
      <xdr:colOff>200024</xdr:colOff>
      <xdr:row>1</xdr:row>
      <xdr:rowOff>0</xdr:rowOff>
    </xdr:from>
    <xdr:to>
      <xdr:col>17</xdr:col>
      <xdr:colOff>207167</xdr:colOff>
      <xdr:row>14</xdr:row>
      <xdr:rowOff>133350</xdr:rowOff>
    </xdr:to>
    <xdr:graphicFrame macro="">
      <xdr:nvGraphicFramePr>
        <xdr:cNvPr id="4" name="Chart 3">
          <a:extLst>
            <a:ext uri="{FF2B5EF4-FFF2-40B4-BE49-F238E27FC236}">
              <a16:creationId xmlns:a16="http://schemas.microsoft.com/office/drawing/2014/main" id="{D3CEDB75-B295-1231-71E7-418D350F9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228599</xdr:colOff>
      <xdr:row>24</xdr:row>
      <xdr:rowOff>57149</xdr:rowOff>
    </xdr:from>
    <xdr:to>
      <xdr:col>18</xdr:col>
      <xdr:colOff>200024</xdr:colOff>
      <xdr:row>38</xdr:row>
      <xdr:rowOff>138113</xdr:rowOff>
    </xdr:to>
    <xdr:graphicFrame macro="">
      <xdr:nvGraphicFramePr>
        <xdr:cNvPr id="5" name="Chart 4">
          <a:extLst>
            <a:ext uri="{FF2B5EF4-FFF2-40B4-BE49-F238E27FC236}">
              <a16:creationId xmlns:a16="http://schemas.microsoft.com/office/drawing/2014/main" id="{94A808E6-1FA0-A7FB-243E-C96D486E5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557214</xdr:colOff>
      <xdr:row>24</xdr:row>
      <xdr:rowOff>95249</xdr:rowOff>
    </xdr:from>
    <xdr:to>
      <xdr:col>12</xdr:col>
      <xdr:colOff>200025</xdr:colOff>
      <xdr:row>38</xdr:row>
      <xdr:rowOff>119063</xdr:rowOff>
    </xdr:to>
    <xdr:graphicFrame macro="">
      <xdr:nvGraphicFramePr>
        <xdr:cNvPr id="7" name="Chart 6">
          <a:extLst>
            <a:ext uri="{FF2B5EF4-FFF2-40B4-BE49-F238E27FC236}">
              <a16:creationId xmlns:a16="http://schemas.microsoft.com/office/drawing/2014/main" id="{DDCF8CA6-295C-077C-B74F-D2D6F78ED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102393</xdr:colOff>
      <xdr:row>1</xdr:row>
      <xdr:rowOff>180975</xdr:rowOff>
    </xdr:from>
    <xdr:to>
      <xdr:col>8</xdr:col>
      <xdr:colOff>438150</xdr:colOff>
      <xdr:row>14</xdr:row>
      <xdr:rowOff>33338</xdr:rowOff>
    </xdr:to>
    <xdr:graphicFrame macro="">
      <xdr:nvGraphicFramePr>
        <xdr:cNvPr id="2" name="Chart 1">
          <a:extLst>
            <a:ext uri="{FF2B5EF4-FFF2-40B4-BE49-F238E27FC236}">
              <a16:creationId xmlns:a16="http://schemas.microsoft.com/office/drawing/2014/main" id="{F950A39A-273B-A473-1F21-14774DEE8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42863</xdr:colOff>
      <xdr:row>17</xdr:row>
      <xdr:rowOff>161925</xdr:rowOff>
    </xdr:from>
    <xdr:to>
      <xdr:col>9</xdr:col>
      <xdr:colOff>76200</xdr:colOff>
      <xdr:row>30</xdr:row>
      <xdr:rowOff>166688</xdr:rowOff>
    </xdr:to>
    <xdr:graphicFrame macro="">
      <xdr:nvGraphicFramePr>
        <xdr:cNvPr id="3" name="Chart 2">
          <a:extLst>
            <a:ext uri="{FF2B5EF4-FFF2-40B4-BE49-F238E27FC236}">
              <a16:creationId xmlns:a16="http://schemas.microsoft.com/office/drawing/2014/main" id="{380EDEAF-3441-3E34-BD85-1AF1F00D0D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11905</xdr:colOff>
      <xdr:row>15</xdr:row>
      <xdr:rowOff>9525</xdr:rowOff>
    </xdr:from>
    <xdr:to>
      <xdr:col>16</xdr:col>
      <xdr:colOff>30955</xdr:colOff>
      <xdr:row>30</xdr:row>
      <xdr:rowOff>38100</xdr:rowOff>
    </xdr:to>
    <xdr:graphicFrame macro="">
      <xdr:nvGraphicFramePr>
        <xdr:cNvPr id="4" name="Chart 3">
          <a:extLst>
            <a:ext uri="{FF2B5EF4-FFF2-40B4-BE49-F238E27FC236}">
              <a16:creationId xmlns:a16="http://schemas.microsoft.com/office/drawing/2014/main" id="{F6EB0AFB-15DE-2E6A-D5F2-D623B4E06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114300</xdr:colOff>
      <xdr:row>2</xdr:row>
      <xdr:rowOff>9526</xdr:rowOff>
    </xdr:from>
    <xdr:to>
      <xdr:col>5</xdr:col>
      <xdr:colOff>90488</xdr:colOff>
      <xdr:row>13</xdr:row>
      <xdr:rowOff>180977</xdr:rowOff>
    </xdr:to>
    <mc:AlternateContent xmlns:mc="http://schemas.openxmlformats.org/markup-compatibility/2006" xmlns:a14="http://schemas.microsoft.com/office/drawing/2010/main">
      <mc:Choice Requires="a14">
        <xdr:graphicFrame macro="">
          <xdr:nvGraphicFramePr>
            <xdr:cNvPr id="2" name="OrderDate">
              <a:extLst>
                <a:ext uri="{FF2B5EF4-FFF2-40B4-BE49-F238E27FC236}">
                  <a16:creationId xmlns:a16="http://schemas.microsoft.com/office/drawing/2014/main" id="{EE0BED9D-D72F-5513-422F-4BE522577C9C}"/>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3181350" y="376239"/>
              <a:ext cx="1828800" cy="2166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16667</xdr:colOff>
      <xdr:row>14</xdr:row>
      <xdr:rowOff>14287</xdr:rowOff>
    </xdr:from>
    <xdr:to>
      <xdr:col>6</xdr:col>
      <xdr:colOff>4762</xdr:colOff>
      <xdr:row>29</xdr:row>
      <xdr:rowOff>42862</xdr:rowOff>
    </xdr:to>
    <xdr:graphicFrame macro="">
      <xdr:nvGraphicFramePr>
        <xdr:cNvPr id="3" name="Chart 2">
          <a:extLst>
            <a:ext uri="{FF2B5EF4-FFF2-40B4-BE49-F238E27FC236}">
              <a16:creationId xmlns:a16="http://schemas.microsoft.com/office/drawing/2014/main" id="{BA51DBC3-AED9-2727-E600-6CA2F1B83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85725</xdr:colOff>
      <xdr:row>1</xdr:row>
      <xdr:rowOff>180976</xdr:rowOff>
    </xdr:from>
    <xdr:to>
      <xdr:col>11</xdr:col>
      <xdr:colOff>85725</xdr:colOff>
      <xdr:row>8</xdr:row>
      <xdr:rowOff>138114</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4BE54DA-79F2-B776-9971-342C00BE54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67588" y="361951"/>
              <a:ext cx="1828800" cy="12334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642937</xdr:colOff>
      <xdr:row>8</xdr:row>
      <xdr:rowOff>161925</xdr:rowOff>
    </xdr:from>
    <xdr:to>
      <xdr:col>12</xdr:col>
      <xdr:colOff>173829</xdr:colOff>
      <xdr:row>21</xdr:row>
      <xdr:rowOff>157163</xdr:rowOff>
    </xdr:to>
    <xdr:graphicFrame macro="">
      <xdr:nvGraphicFramePr>
        <xdr:cNvPr id="6" name="Chart 5">
          <a:extLst>
            <a:ext uri="{FF2B5EF4-FFF2-40B4-BE49-F238E27FC236}">
              <a16:creationId xmlns:a16="http://schemas.microsoft.com/office/drawing/2014/main" id="{CDC543E1-8FD8-4AF9-4229-94FB9145E8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n Shrestha" refreshedDate="46196.422305208333" createdVersion="8" refreshedVersion="8" minRefreshableVersion="3" recordCount="200" xr:uid="{7260B22B-2839-4C78-9A17-6D7AF247B0F6}">
  <cacheSource type="worksheet">
    <worksheetSource name="sales_products_salespeople"/>
  </cacheSource>
  <cacheFields count="18">
    <cacheField name="OrderID" numFmtId="0">
      <sharedItems/>
    </cacheField>
    <cacheField name="OrderDate" numFmtId="14">
      <sharedItems containsSemiMixedTypes="0" containsNonDate="0" containsDate="1" containsString="0" minDate="2024-01-02T00:00:00" maxDate="2025-01-01T00:00:00" count="156">
        <d v="2024-11-23T00:00:00"/>
        <d v="2024-07-13T00:00:00"/>
        <d v="2024-10-29T00:00:00"/>
        <d v="2024-08-24T00:00:00"/>
        <d v="2024-04-24T00:00:00"/>
        <d v="2024-01-04T00:00:00"/>
        <d v="2024-10-22T00:00:00"/>
        <d v="2024-03-20T00:00:00"/>
        <d v="2024-04-29T00:00:00"/>
        <d v="2024-11-28T00:00:00"/>
        <d v="2024-01-23T00:00:00"/>
        <d v="2024-11-07T00:00:00"/>
        <d v="2024-10-09T00:00:00"/>
        <d v="2024-05-28T00:00:00"/>
        <d v="2024-05-22T00:00:00"/>
        <d v="2024-06-30T00:00:00"/>
        <d v="2024-12-16T00:00:00"/>
        <d v="2024-06-10T00:00:00"/>
        <d v="2024-04-18T00:00:00"/>
        <d v="2024-05-15T00:00:00"/>
        <d v="2024-10-26T00:00:00"/>
        <d v="2024-04-22T00:00:00"/>
        <d v="2024-02-26T00:00:00"/>
        <d v="2024-11-01T00:00:00"/>
        <d v="2024-09-27T00:00:00"/>
        <d v="2024-12-15T00:00:00"/>
        <d v="2024-02-27T00:00:00"/>
        <d v="2024-05-14T00:00:00"/>
        <d v="2024-11-16T00:00:00"/>
        <d v="2024-03-19T00:00:00"/>
        <d v="2024-11-02T00:00:00"/>
        <d v="2024-06-06T00:00:00"/>
        <d v="2024-02-13T00:00:00"/>
        <d v="2024-03-06T00:00:00"/>
        <d v="2024-12-31T00:00:00"/>
        <d v="2024-08-12T00:00:00"/>
        <d v="2024-02-02T00:00:00"/>
        <d v="2024-10-28T00:00:00"/>
        <d v="2024-04-27T00:00:00"/>
        <d v="2024-09-20T00:00:00"/>
        <d v="2024-10-03T00:00:00"/>
        <d v="2024-05-04T00:00:00"/>
        <d v="2024-02-19T00:00:00"/>
        <d v="2024-01-28T00:00:00"/>
        <d v="2024-02-25T00:00:00"/>
        <d v="2024-03-12T00:00:00"/>
        <d v="2024-02-08T00:00:00"/>
        <d v="2024-11-29T00:00:00"/>
        <d v="2024-03-26T00:00:00"/>
        <d v="2024-01-31T00:00:00"/>
        <d v="2024-08-20T00:00:00"/>
        <d v="2024-06-09T00:00:00"/>
        <d v="2024-01-30T00:00:00"/>
        <d v="2024-12-11T00:00:00"/>
        <d v="2024-10-23T00:00:00"/>
        <d v="2024-12-02T00:00:00"/>
        <d v="2024-04-14T00:00:00"/>
        <d v="2024-12-09T00:00:00"/>
        <d v="2024-01-05T00:00:00"/>
        <d v="2024-10-02T00:00:00"/>
        <d v="2024-02-05T00:00:00"/>
        <d v="2024-10-05T00:00:00"/>
        <d v="2024-12-07T00:00:00"/>
        <d v="2024-05-19T00:00:00"/>
        <d v="2024-02-17T00:00:00"/>
        <d v="2024-06-19T00:00:00"/>
        <d v="2024-12-19T00:00:00"/>
        <d v="2024-08-08T00:00:00"/>
        <d v="2024-07-02T00:00:00"/>
        <d v="2024-05-01T00:00:00"/>
        <d v="2024-04-01T00:00:00"/>
        <d v="2024-05-16T00:00:00"/>
        <d v="2024-01-20T00:00:00"/>
        <d v="2024-06-05T00:00:00"/>
        <d v="2024-07-23T00:00:00"/>
        <d v="2024-06-28T00:00:00"/>
        <d v="2024-01-15T00:00:00"/>
        <d v="2024-08-11T00:00:00"/>
        <d v="2024-05-10T00:00:00"/>
        <d v="2024-07-05T00:00:00"/>
        <d v="2024-12-05T00:00:00"/>
        <d v="2024-10-10T00:00:00"/>
        <d v="2024-12-12T00:00:00"/>
        <d v="2024-10-07T00:00:00"/>
        <d v="2024-08-14T00:00:00"/>
        <d v="2024-12-03T00:00:00"/>
        <d v="2024-03-16T00:00:00"/>
        <d v="2024-08-21T00:00:00"/>
        <d v="2024-12-22T00:00:00"/>
        <d v="2024-12-01T00:00:00"/>
        <d v="2024-01-26T00:00:00"/>
        <d v="2024-08-25T00:00:00"/>
        <d v="2024-11-09T00:00:00"/>
        <d v="2024-08-31T00:00:00"/>
        <d v="2024-09-23T00:00:00"/>
        <d v="2024-02-09T00:00:00"/>
        <d v="2024-12-21T00:00:00"/>
        <d v="2024-07-27T00:00:00"/>
        <d v="2024-04-15T00:00:00"/>
        <d v="2024-10-21T00:00:00"/>
        <d v="2024-07-18T00:00:00"/>
        <d v="2024-09-06T00:00:00"/>
        <d v="2024-08-27T00:00:00"/>
        <d v="2024-10-30T00:00:00"/>
        <d v="2024-03-10T00:00:00"/>
        <d v="2024-06-16T00:00:00"/>
        <d v="2024-01-11T00:00:00"/>
        <d v="2024-12-08T00:00:00"/>
        <d v="2024-07-07T00:00:00"/>
        <d v="2024-03-24T00:00:00"/>
        <d v="2024-06-26T00:00:00"/>
        <d v="2024-09-16T00:00:00"/>
        <d v="2024-08-09T00:00:00"/>
        <d v="2024-08-10T00:00:00"/>
        <d v="2024-11-11T00:00:00"/>
        <d v="2024-08-18T00:00:00"/>
        <d v="2024-06-21T00:00:00"/>
        <d v="2024-01-09T00:00:00"/>
        <d v="2024-08-05T00:00:00"/>
        <d v="2024-05-18T00:00:00"/>
        <d v="2024-04-08T00:00:00"/>
        <d v="2024-02-21T00:00:00"/>
        <d v="2024-06-03T00:00:00"/>
        <d v="2024-01-24T00:00:00"/>
        <d v="2024-11-22T00:00:00"/>
        <d v="2024-08-28T00:00:00"/>
        <d v="2024-05-09T00:00:00"/>
        <d v="2024-02-07T00:00:00"/>
        <d v="2024-03-17T00:00:00"/>
        <d v="2024-10-12T00:00:00"/>
        <d v="2024-09-24T00:00:00"/>
        <d v="2024-04-16T00:00:00"/>
        <d v="2024-05-02T00:00:00"/>
        <d v="2024-07-28T00:00:00"/>
        <d v="2024-01-17T00:00:00"/>
        <d v="2024-02-06T00:00:00"/>
        <d v="2024-10-31T00:00:00"/>
        <d v="2024-11-05T00:00:00"/>
        <d v="2024-12-10T00:00:00"/>
        <d v="2024-06-27T00:00:00"/>
        <d v="2024-03-23T00:00:00"/>
        <d v="2024-02-15T00:00:00"/>
        <d v="2024-10-08T00:00:00"/>
        <d v="2024-03-03T00:00:00"/>
        <d v="2024-06-08T00:00:00"/>
        <d v="2024-04-25T00:00:00"/>
        <d v="2024-09-12T00:00:00"/>
        <d v="2024-09-04T00:00:00"/>
        <d v="2024-07-15T00:00:00"/>
        <d v="2024-01-02T00:00:00"/>
        <d v="2024-12-23T00:00:00"/>
        <d v="2024-07-16T00:00:00"/>
        <d v="2024-03-14T00:00:00"/>
        <d v="2024-06-11T00:00:00"/>
        <d v="2024-04-30T00:00:00"/>
        <d v="2024-02-20T00:00:00"/>
      </sharedItems>
    </cacheField>
    <cacheField name="SalespersonID" numFmtId="0">
      <sharedItems/>
    </cacheField>
    <cacheField name="01_salespeople.Salesperson" numFmtId="0">
      <sharedItems count="10">
        <s v="Bruno Costa"/>
        <s v="Grace Mwangi"/>
        <s v="Chen Wei"/>
        <s v="Diana Lopez"/>
        <s v="Isabela Rocha"/>
        <s v="Hiro Tanaka"/>
        <s v="Ethan Brooks"/>
        <s v="Fatima Noor"/>
        <s v="Aisha Khan"/>
        <s v="Jamal Edwards"/>
      </sharedItems>
    </cacheField>
    <cacheField name="ProductID" numFmtId="0">
      <sharedItems/>
    </cacheField>
    <cacheField name="01_products.Category" numFmtId="0">
      <sharedItems count="5">
        <s v="Accessories"/>
        <s v="Displays"/>
        <s v="Audio"/>
        <s v="Laptops"/>
        <s v="Peripherals"/>
      </sharedItems>
    </cacheField>
    <cacheField name="01_products.Product" numFmtId="0">
      <sharedItems count="15">
        <s v="Wireless Mouse"/>
        <s v="34in Ultrawide"/>
        <s v="27in Monitor"/>
        <s v="Desk Speakers"/>
        <s v="Conference Mic"/>
        <s v="Business Laptop 15"/>
        <s v="Portable Monitor"/>
        <s v="Gaming Laptop 16"/>
        <s v="Webcam 4K"/>
        <s v="Noise-Cancel Headset"/>
        <s v="Laptop Stand"/>
        <s v="Document Scanner"/>
        <s v="Ultrabook 14"/>
        <s v="USB-C Hub"/>
        <s v="Mechanical Keyboard"/>
      </sharedItems>
    </cacheField>
    <cacheField name="Channel" numFmtId="0">
      <sharedItems count="3">
        <s v="Partner"/>
        <s v="Retail"/>
        <s v="Online"/>
      </sharedItems>
    </cacheField>
    <cacheField name="Region" numFmtId="0">
      <sharedItems count="3">
        <s v="EMEA"/>
        <s v="APAC"/>
        <s v="Americas"/>
      </sharedItems>
    </cacheField>
    <cacheField name="Country" numFmtId="0">
      <sharedItems count="10">
        <s v="Portugal"/>
        <s v="Kenya"/>
        <s v="Singapore"/>
        <s v="Mexico"/>
        <s v="Brazil"/>
        <s v="Japan"/>
        <s v="United States"/>
        <s v="United Arab Emirates"/>
        <s v="United Kingdom"/>
        <s v="Canada"/>
      </sharedItems>
    </cacheField>
    <cacheField name="Quantity" numFmtId="0">
      <sharedItems containsSemiMixedTypes="0" containsString="0" containsNumber="1" containsInteger="1" minValue="1" maxValue="25"/>
    </cacheField>
    <cacheField name="UnitPrice" numFmtId="164">
      <sharedItems containsSemiMixedTypes="0" containsString="0" containsNumber="1" containsInteger="1" minValue="25" maxValue="1750"/>
    </cacheField>
    <cacheField name="UnitCost" numFmtId="164">
      <sharedItems containsSemiMixedTypes="0" containsString="0" containsNumber="1" containsInteger="1" minValue="11" maxValue="1300"/>
    </cacheField>
    <cacheField name="Discount" numFmtId="9">
      <sharedItems containsSemiMixedTypes="0" containsString="0" containsNumber="1" minValue="0" maxValue="0.2"/>
    </cacheField>
    <cacheField name="Revenue" numFmtId="164">
      <sharedItems containsSemiMixedTypes="0" containsString="0" containsNumber="1" minValue="75" maxValue="33600"/>
    </cacheField>
    <cacheField name="Commission" numFmtId="164">
      <sharedItems containsSemiMixedTypes="0" containsString="0" containsNumber="1" minValue="1.5" maxValue="2016"/>
    </cacheField>
    <cacheField name="Profit" numFmtId="164">
      <sharedItems containsSemiMixedTypes="0" containsString="0" containsNumber="1" minValue="41" maxValue="3850"/>
    </cacheField>
    <cacheField name="ProfitMargin" numFmtId="9">
      <sharedItems containsSemiMixedTypes="0" containsString="0" containsNumber="1" minValue="7.1428571428571425E-2" maxValue="0.6"/>
    </cacheField>
  </cacheFields>
  <extLst>
    <ext xmlns:x14="http://schemas.microsoft.com/office/spreadsheetml/2009/9/main" uri="{725AE2AE-9491-48be-B2B4-4EB974FC3084}">
      <x14:pivotCacheDefinition pivotCacheId="10273173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01"/>
    <x v="0"/>
    <s v="S-02"/>
    <x v="0"/>
    <s v="P-101"/>
    <x v="0"/>
    <x v="0"/>
    <x v="0"/>
    <x v="0"/>
    <x v="0"/>
    <n v="9"/>
    <n v="25"/>
    <n v="11"/>
    <n v="0.05"/>
    <n v="213.75"/>
    <n v="4.2750000000000004"/>
    <n v="114.75"/>
    <n v="0.5368421052631579"/>
  </r>
  <r>
    <s v="ORD-10008"/>
    <x v="1"/>
    <s v="S-02"/>
    <x v="0"/>
    <s v="P-202"/>
    <x v="1"/>
    <x v="1"/>
    <x v="1"/>
    <x v="0"/>
    <x v="0"/>
    <n v="20"/>
    <n v="520"/>
    <n v="360"/>
    <n v="0.15"/>
    <n v="8840"/>
    <n v="353.6"/>
    <n v="1640"/>
    <n v="0.18552036199095023"/>
  </r>
  <r>
    <s v="ORD-10003"/>
    <x v="2"/>
    <s v="S-07"/>
    <x v="1"/>
    <s v="P-101"/>
    <x v="0"/>
    <x v="0"/>
    <x v="2"/>
    <x v="0"/>
    <x v="1"/>
    <n v="3"/>
    <n v="25"/>
    <n v="11"/>
    <n v="0"/>
    <n v="75"/>
    <n v="1.5"/>
    <n v="42"/>
    <n v="0.56000000000000005"/>
  </r>
  <r>
    <s v="ORD-10016"/>
    <x v="3"/>
    <s v="S-07"/>
    <x v="1"/>
    <s v="P-201"/>
    <x v="1"/>
    <x v="2"/>
    <x v="0"/>
    <x v="0"/>
    <x v="1"/>
    <n v="23"/>
    <n v="240"/>
    <n v="150"/>
    <n v="0.2"/>
    <n v="4416"/>
    <n v="88.32"/>
    <n v="966"/>
    <n v="0.21875"/>
  </r>
  <r>
    <s v="ORD-10002"/>
    <x v="4"/>
    <s v="S-03"/>
    <x v="2"/>
    <s v="P-402"/>
    <x v="2"/>
    <x v="3"/>
    <x v="2"/>
    <x v="1"/>
    <x v="2"/>
    <n v="22"/>
    <n v="95"/>
    <n v="44"/>
    <n v="0.2"/>
    <n v="1672"/>
    <n v="33.44"/>
    <n v="704"/>
    <n v="0.42105263157894735"/>
  </r>
  <r>
    <s v="ORD-10006"/>
    <x v="5"/>
    <s v="S-03"/>
    <x v="2"/>
    <s v="P-402"/>
    <x v="2"/>
    <x v="3"/>
    <x v="1"/>
    <x v="1"/>
    <x v="2"/>
    <n v="11"/>
    <n v="95"/>
    <n v="44"/>
    <n v="0.1"/>
    <n v="940.5"/>
    <n v="18.809999999999999"/>
    <n v="456.5"/>
    <n v="0.4853801169590643"/>
  </r>
  <r>
    <s v="ORD-10011"/>
    <x v="6"/>
    <s v="S-04"/>
    <x v="3"/>
    <s v="P-402"/>
    <x v="2"/>
    <x v="3"/>
    <x v="2"/>
    <x v="2"/>
    <x v="3"/>
    <n v="2"/>
    <n v="95"/>
    <n v="44"/>
    <n v="0"/>
    <n v="190"/>
    <n v="3.8"/>
    <n v="102"/>
    <n v="0.5368421052631579"/>
  </r>
  <r>
    <s v="ORD-10007"/>
    <x v="7"/>
    <s v="S-04"/>
    <x v="3"/>
    <s v="P-403"/>
    <x v="2"/>
    <x v="4"/>
    <x v="1"/>
    <x v="2"/>
    <x v="3"/>
    <n v="4"/>
    <n v="130"/>
    <n v="62"/>
    <n v="0"/>
    <n v="520"/>
    <n v="10.4"/>
    <n v="272"/>
    <n v="0.52307692307692311"/>
  </r>
  <r>
    <s v="ORD-10004"/>
    <x v="8"/>
    <s v="S-09"/>
    <x v="4"/>
    <s v="P-303"/>
    <x v="3"/>
    <x v="5"/>
    <x v="2"/>
    <x v="2"/>
    <x v="4"/>
    <n v="18"/>
    <n v="1050"/>
    <n v="760"/>
    <n v="0.15"/>
    <n v="16065"/>
    <n v="963.9"/>
    <n v="2385"/>
    <n v="0.1484593837535014"/>
  </r>
  <r>
    <s v="ORD-10005"/>
    <x v="9"/>
    <s v="S-09"/>
    <x v="4"/>
    <s v="P-203"/>
    <x v="1"/>
    <x v="6"/>
    <x v="2"/>
    <x v="2"/>
    <x v="4"/>
    <n v="15"/>
    <n v="180"/>
    <n v="105"/>
    <n v="0.1"/>
    <n v="2430"/>
    <n v="48.6"/>
    <n v="855"/>
    <n v="0.35185185185185186"/>
  </r>
  <r>
    <s v="ORD-10009"/>
    <x v="10"/>
    <s v="S-08"/>
    <x v="5"/>
    <s v="P-302"/>
    <x v="3"/>
    <x v="7"/>
    <x v="2"/>
    <x v="1"/>
    <x v="5"/>
    <n v="13"/>
    <n v="1750"/>
    <n v="1300"/>
    <n v="0.1"/>
    <n v="20475"/>
    <n v="1228.5"/>
    <n v="3575"/>
    <n v="0.17460317460317459"/>
  </r>
  <r>
    <s v="ORD-10015"/>
    <x v="11"/>
    <s v="S-03"/>
    <x v="2"/>
    <s v="P-302"/>
    <x v="3"/>
    <x v="7"/>
    <x v="0"/>
    <x v="1"/>
    <x v="2"/>
    <n v="8"/>
    <n v="1750"/>
    <n v="1300"/>
    <n v="0.05"/>
    <n v="13300"/>
    <n v="532"/>
    <n v="2900"/>
    <n v="0.21804511278195488"/>
  </r>
  <r>
    <s v="ORD-10010"/>
    <x v="12"/>
    <s v="S-05"/>
    <x v="6"/>
    <s v="P-501"/>
    <x v="4"/>
    <x v="8"/>
    <x v="0"/>
    <x v="2"/>
    <x v="6"/>
    <n v="20"/>
    <n v="110"/>
    <n v="55"/>
    <n v="0.15"/>
    <n v="1870"/>
    <n v="37.4"/>
    <n v="770"/>
    <n v="0.41176470588235298"/>
  </r>
  <r>
    <s v="ORD-10012"/>
    <x v="13"/>
    <s v="S-02"/>
    <x v="0"/>
    <s v="P-501"/>
    <x v="4"/>
    <x v="8"/>
    <x v="2"/>
    <x v="0"/>
    <x v="0"/>
    <n v="4"/>
    <n v="110"/>
    <n v="55"/>
    <n v="0"/>
    <n v="440"/>
    <n v="8.8000000000000007"/>
    <n v="220"/>
    <n v="0.5"/>
  </r>
  <r>
    <s v="ORD-10013"/>
    <x v="14"/>
    <s v="S-08"/>
    <x v="5"/>
    <s v="P-401"/>
    <x v="2"/>
    <x v="9"/>
    <x v="1"/>
    <x v="1"/>
    <x v="5"/>
    <n v="6"/>
    <n v="210"/>
    <n v="120"/>
    <n v="0.05"/>
    <n v="1197"/>
    <n v="23.94"/>
    <n v="477"/>
    <n v="0.39849624060150374"/>
  </r>
  <r>
    <s v="ORD-10014"/>
    <x v="15"/>
    <s v="S-04"/>
    <x v="3"/>
    <s v="P-401"/>
    <x v="2"/>
    <x v="9"/>
    <x v="1"/>
    <x v="2"/>
    <x v="3"/>
    <n v="23"/>
    <n v="210"/>
    <n v="120"/>
    <n v="0.2"/>
    <n v="3864"/>
    <n v="77.28"/>
    <n v="1104"/>
    <n v="0.2857142857142857"/>
  </r>
  <r>
    <s v="ORD-10017"/>
    <x v="16"/>
    <s v="S-06"/>
    <x v="7"/>
    <s v="P-501"/>
    <x v="4"/>
    <x v="8"/>
    <x v="2"/>
    <x v="0"/>
    <x v="7"/>
    <n v="8"/>
    <n v="110"/>
    <n v="55"/>
    <n v="0.05"/>
    <n v="836"/>
    <n v="16.72"/>
    <n v="396"/>
    <n v="0.47368421052631576"/>
  </r>
  <r>
    <s v="ORD-10018"/>
    <x v="17"/>
    <s v="S-07"/>
    <x v="1"/>
    <s v="P-201"/>
    <x v="1"/>
    <x v="2"/>
    <x v="2"/>
    <x v="0"/>
    <x v="1"/>
    <n v="7"/>
    <n v="240"/>
    <n v="150"/>
    <n v="0.05"/>
    <n v="1596"/>
    <n v="31.92"/>
    <n v="546"/>
    <n v="0.34210526315789475"/>
  </r>
  <r>
    <s v="ORD-10019"/>
    <x v="18"/>
    <s v="S-08"/>
    <x v="5"/>
    <s v="P-203"/>
    <x v="1"/>
    <x v="6"/>
    <x v="0"/>
    <x v="1"/>
    <x v="5"/>
    <n v="15"/>
    <n v="180"/>
    <n v="105"/>
    <n v="0.1"/>
    <n v="2430"/>
    <n v="48.6"/>
    <n v="855"/>
    <n v="0.35185185185185186"/>
  </r>
  <r>
    <s v="ORD-10020"/>
    <x v="19"/>
    <s v="S-03"/>
    <x v="2"/>
    <s v="P-104"/>
    <x v="0"/>
    <x v="10"/>
    <x v="0"/>
    <x v="1"/>
    <x v="2"/>
    <n v="18"/>
    <n v="35"/>
    <n v="14"/>
    <n v="0.15"/>
    <n v="535.5"/>
    <n v="10.71"/>
    <n v="283.5"/>
    <n v="0.52941176470588236"/>
  </r>
  <r>
    <s v="ORD-10021"/>
    <x v="20"/>
    <s v="S-07"/>
    <x v="1"/>
    <s v="P-502"/>
    <x v="4"/>
    <x v="11"/>
    <x v="0"/>
    <x v="0"/>
    <x v="1"/>
    <n v="13"/>
    <n v="160"/>
    <n v="88"/>
    <n v="0.1"/>
    <n v="1872"/>
    <n v="37.44"/>
    <n v="728"/>
    <n v="0.3888888888888889"/>
  </r>
  <r>
    <s v="ORD-10022"/>
    <x v="21"/>
    <s v="S-03"/>
    <x v="2"/>
    <s v="P-302"/>
    <x v="3"/>
    <x v="7"/>
    <x v="1"/>
    <x v="1"/>
    <x v="2"/>
    <n v="3"/>
    <n v="1750"/>
    <n v="1300"/>
    <n v="0"/>
    <n v="5250"/>
    <n v="210"/>
    <n v="1350"/>
    <n v="0.25714285714285712"/>
  </r>
  <r>
    <s v="ORD-10023"/>
    <x v="22"/>
    <s v="S-03"/>
    <x v="2"/>
    <s v="P-401"/>
    <x v="2"/>
    <x v="9"/>
    <x v="2"/>
    <x v="1"/>
    <x v="2"/>
    <n v="22"/>
    <n v="210"/>
    <n v="120"/>
    <n v="0.2"/>
    <n v="3696"/>
    <n v="73.92"/>
    <n v="1056"/>
    <n v="0.2857142857142857"/>
  </r>
  <r>
    <s v="ORD-10024"/>
    <x v="23"/>
    <s v="S-02"/>
    <x v="0"/>
    <s v="P-203"/>
    <x v="1"/>
    <x v="6"/>
    <x v="1"/>
    <x v="0"/>
    <x v="0"/>
    <n v="20"/>
    <n v="180"/>
    <n v="105"/>
    <n v="0.15"/>
    <n v="3060"/>
    <n v="61.2"/>
    <n v="960"/>
    <n v="0.31372549019607843"/>
  </r>
  <r>
    <s v="ORD-10025"/>
    <x v="24"/>
    <s v="S-05"/>
    <x v="6"/>
    <s v="P-302"/>
    <x v="3"/>
    <x v="7"/>
    <x v="2"/>
    <x v="2"/>
    <x v="6"/>
    <n v="22"/>
    <n v="1750"/>
    <n v="1300"/>
    <n v="0.2"/>
    <n v="30800"/>
    <n v="1848"/>
    <n v="2200"/>
    <n v="7.1428571428571425E-2"/>
  </r>
  <r>
    <s v="ORD-10026"/>
    <x v="25"/>
    <s v="S-09"/>
    <x v="4"/>
    <s v="P-403"/>
    <x v="2"/>
    <x v="4"/>
    <x v="1"/>
    <x v="2"/>
    <x v="4"/>
    <n v="25"/>
    <n v="130"/>
    <n v="62"/>
    <n v="0.2"/>
    <n v="2600"/>
    <n v="52"/>
    <n v="1050"/>
    <n v="0.40384615384615385"/>
  </r>
  <r>
    <s v="ORD-10027"/>
    <x v="26"/>
    <s v="S-05"/>
    <x v="6"/>
    <s v="P-203"/>
    <x v="1"/>
    <x v="6"/>
    <x v="2"/>
    <x v="2"/>
    <x v="6"/>
    <n v="15"/>
    <n v="180"/>
    <n v="105"/>
    <n v="0.1"/>
    <n v="2430"/>
    <n v="48.6"/>
    <n v="855"/>
    <n v="0.35185185185185186"/>
  </r>
  <r>
    <s v="ORD-10028"/>
    <x v="27"/>
    <s v="S-09"/>
    <x v="4"/>
    <s v="P-403"/>
    <x v="2"/>
    <x v="4"/>
    <x v="2"/>
    <x v="2"/>
    <x v="4"/>
    <n v="17"/>
    <n v="130"/>
    <n v="62"/>
    <n v="0.15"/>
    <n v="1878.5"/>
    <n v="37.57"/>
    <n v="824.5"/>
    <n v="0.43891402714932126"/>
  </r>
  <r>
    <s v="ORD-10029"/>
    <x v="28"/>
    <s v="S-05"/>
    <x v="6"/>
    <s v="P-501"/>
    <x v="4"/>
    <x v="8"/>
    <x v="0"/>
    <x v="2"/>
    <x v="6"/>
    <n v="17"/>
    <n v="110"/>
    <n v="55"/>
    <n v="0.15"/>
    <n v="1589.5"/>
    <n v="31.79"/>
    <n v="654.5"/>
    <n v="0.41176470588235298"/>
  </r>
  <r>
    <s v="ORD-10030"/>
    <x v="29"/>
    <s v="S-06"/>
    <x v="7"/>
    <s v="P-403"/>
    <x v="2"/>
    <x v="4"/>
    <x v="2"/>
    <x v="0"/>
    <x v="7"/>
    <n v="18"/>
    <n v="130"/>
    <n v="62"/>
    <n v="0.15"/>
    <n v="1989"/>
    <n v="39.78"/>
    <n v="873"/>
    <n v="0.43891402714932126"/>
  </r>
  <r>
    <s v="ORD-10031"/>
    <x v="30"/>
    <s v="S-06"/>
    <x v="7"/>
    <s v="P-301"/>
    <x v="3"/>
    <x v="12"/>
    <x v="2"/>
    <x v="0"/>
    <x v="7"/>
    <n v="4"/>
    <n v="1150"/>
    <n v="820"/>
    <n v="0"/>
    <n v="4600"/>
    <n v="92"/>
    <n v="1320"/>
    <n v="0.28695652173913044"/>
  </r>
  <r>
    <s v="ORD-10032"/>
    <x v="31"/>
    <s v="S-04"/>
    <x v="3"/>
    <s v="P-101"/>
    <x v="0"/>
    <x v="0"/>
    <x v="2"/>
    <x v="2"/>
    <x v="3"/>
    <n v="19"/>
    <n v="25"/>
    <n v="11"/>
    <n v="0.15"/>
    <n v="403.75"/>
    <n v="8.0749999999999993"/>
    <n v="194.75"/>
    <n v="0.4823529411764706"/>
  </r>
  <r>
    <s v="ORD-10033"/>
    <x v="32"/>
    <s v="S-08"/>
    <x v="5"/>
    <s v="P-501"/>
    <x v="4"/>
    <x v="8"/>
    <x v="2"/>
    <x v="1"/>
    <x v="5"/>
    <n v="25"/>
    <n v="110"/>
    <n v="55"/>
    <n v="0.2"/>
    <n v="2200"/>
    <n v="44"/>
    <n v="825"/>
    <n v="0.375"/>
  </r>
  <r>
    <s v="ORD-10034"/>
    <x v="33"/>
    <s v="S-08"/>
    <x v="5"/>
    <s v="P-302"/>
    <x v="3"/>
    <x v="7"/>
    <x v="2"/>
    <x v="1"/>
    <x v="5"/>
    <n v="9"/>
    <n v="1750"/>
    <n v="1300"/>
    <n v="0.05"/>
    <n v="14962.5"/>
    <n v="598.5"/>
    <n v="3262.5"/>
    <n v="0.21804511278195488"/>
  </r>
  <r>
    <s v="ORD-10035"/>
    <x v="18"/>
    <s v="S-09"/>
    <x v="4"/>
    <s v="P-403"/>
    <x v="2"/>
    <x v="4"/>
    <x v="0"/>
    <x v="2"/>
    <x v="4"/>
    <n v="23"/>
    <n v="130"/>
    <n v="62"/>
    <n v="0.2"/>
    <n v="2392"/>
    <n v="47.84"/>
    <n v="966"/>
    <n v="0.40384615384615385"/>
  </r>
  <r>
    <s v="ORD-10036"/>
    <x v="34"/>
    <s v="S-05"/>
    <x v="6"/>
    <s v="P-203"/>
    <x v="1"/>
    <x v="6"/>
    <x v="0"/>
    <x v="2"/>
    <x v="6"/>
    <n v="21"/>
    <n v="180"/>
    <n v="105"/>
    <n v="0.2"/>
    <n v="3024"/>
    <n v="60.48"/>
    <n v="819"/>
    <n v="0.27083333333333331"/>
  </r>
  <r>
    <s v="ORD-10037"/>
    <x v="35"/>
    <s v="S-09"/>
    <x v="4"/>
    <s v="P-301"/>
    <x v="3"/>
    <x v="12"/>
    <x v="2"/>
    <x v="2"/>
    <x v="4"/>
    <n v="8"/>
    <n v="1150"/>
    <n v="820"/>
    <n v="0.05"/>
    <n v="8740"/>
    <n v="349.6"/>
    <n v="2180"/>
    <n v="0.2494279176201373"/>
  </r>
  <r>
    <s v="ORD-10038"/>
    <x v="36"/>
    <s v="S-06"/>
    <x v="7"/>
    <s v="P-101"/>
    <x v="0"/>
    <x v="0"/>
    <x v="0"/>
    <x v="0"/>
    <x v="7"/>
    <n v="18"/>
    <n v="25"/>
    <n v="11"/>
    <n v="0.15"/>
    <n v="382.5"/>
    <n v="7.65"/>
    <n v="184.5"/>
    <n v="0.4823529411764706"/>
  </r>
  <r>
    <s v="ORD-10039"/>
    <x v="37"/>
    <s v="S-04"/>
    <x v="3"/>
    <s v="P-101"/>
    <x v="0"/>
    <x v="0"/>
    <x v="2"/>
    <x v="2"/>
    <x v="3"/>
    <n v="23"/>
    <n v="25"/>
    <n v="11"/>
    <n v="0.2"/>
    <n v="460"/>
    <n v="9.1999999999999993"/>
    <n v="207"/>
    <n v="0.45"/>
  </r>
  <r>
    <s v="ORD-10040"/>
    <x v="38"/>
    <s v="S-02"/>
    <x v="0"/>
    <s v="P-502"/>
    <x v="4"/>
    <x v="11"/>
    <x v="2"/>
    <x v="0"/>
    <x v="0"/>
    <n v="11"/>
    <n v="160"/>
    <n v="88"/>
    <n v="0.1"/>
    <n v="1584"/>
    <n v="31.68"/>
    <n v="616"/>
    <n v="0.3888888888888889"/>
  </r>
  <r>
    <s v="ORD-10041"/>
    <x v="39"/>
    <s v="S-04"/>
    <x v="3"/>
    <s v="P-201"/>
    <x v="1"/>
    <x v="2"/>
    <x v="0"/>
    <x v="2"/>
    <x v="3"/>
    <n v="16"/>
    <n v="240"/>
    <n v="150"/>
    <n v="0.15"/>
    <n v="3264"/>
    <n v="65.28"/>
    <n v="864"/>
    <n v="0.26470588235294118"/>
  </r>
  <r>
    <s v="ORD-10042"/>
    <x v="40"/>
    <s v="S-03"/>
    <x v="2"/>
    <s v="P-402"/>
    <x v="2"/>
    <x v="3"/>
    <x v="0"/>
    <x v="1"/>
    <x v="2"/>
    <n v="19"/>
    <n v="95"/>
    <n v="44"/>
    <n v="0.15"/>
    <n v="1534.25"/>
    <n v="30.684999999999999"/>
    <n v="698.25"/>
    <n v="0.45510835913312686"/>
  </r>
  <r>
    <s v="ORD-10043"/>
    <x v="41"/>
    <s v="S-08"/>
    <x v="5"/>
    <s v="P-403"/>
    <x v="2"/>
    <x v="4"/>
    <x v="1"/>
    <x v="1"/>
    <x v="5"/>
    <n v="7"/>
    <n v="130"/>
    <n v="62"/>
    <n v="0.05"/>
    <n v="864.5"/>
    <n v="17.29"/>
    <n v="430.5"/>
    <n v="0.49797570850202422"/>
  </r>
  <r>
    <s v="ORD-10044"/>
    <x v="42"/>
    <s v="S-07"/>
    <x v="1"/>
    <s v="P-202"/>
    <x v="1"/>
    <x v="1"/>
    <x v="1"/>
    <x v="0"/>
    <x v="1"/>
    <n v="14"/>
    <n v="520"/>
    <n v="360"/>
    <n v="0.1"/>
    <n v="6552"/>
    <n v="262.08"/>
    <n v="1512"/>
    <n v="0.23076923076923081"/>
  </r>
  <r>
    <s v="ORD-10045"/>
    <x v="43"/>
    <s v="S-02"/>
    <x v="0"/>
    <s v="P-101"/>
    <x v="0"/>
    <x v="0"/>
    <x v="1"/>
    <x v="0"/>
    <x v="0"/>
    <n v="24"/>
    <n v="25"/>
    <n v="11"/>
    <n v="0.2"/>
    <n v="480"/>
    <n v="9.6"/>
    <n v="216"/>
    <n v="0.45"/>
  </r>
  <r>
    <s v="ORD-10046"/>
    <x v="44"/>
    <s v="S-04"/>
    <x v="3"/>
    <s v="P-104"/>
    <x v="0"/>
    <x v="10"/>
    <x v="2"/>
    <x v="2"/>
    <x v="3"/>
    <n v="18"/>
    <n v="35"/>
    <n v="14"/>
    <n v="0.15"/>
    <n v="535.5"/>
    <n v="10.71"/>
    <n v="283.5"/>
    <n v="0.52941176470588236"/>
  </r>
  <r>
    <s v="ORD-10047"/>
    <x v="45"/>
    <s v="S-07"/>
    <x v="1"/>
    <s v="P-103"/>
    <x v="0"/>
    <x v="13"/>
    <x v="1"/>
    <x v="0"/>
    <x v="1"/>
    <n v="15"/>
    <n v="45"/>
    <n v="19"/>
    <n v="0.1"/>
    <n v="607.5"/>
    <n v="12.15"/>
    <n v="322.5"/>
    <n v="0.53086419753086422"/>
  </r>
  <r>
    <s v="ORD-10048"/>
    <x v="46"/>
    <s v="S-08"/>
    <x v="5"/>
    <s v="P-403"/>
    <x v="2"/>
    <x v="4"/>
    <x v="0"/>
    <x v="1"/>
    <x v="5"/>
    <n v="4"/>
    <n v="130"/>
    <n v="62"/>
    <n v="0"/>
    <n v="520"/>
    <n v="10.4"/>
    <n v="272"/>
    <n v="0.52307692307692311"/>
  </r>
  <r>
    <s v="ORD-10049"/>
    <x v="47"/>
    <s v="S-09"/>
    <x v="4"/>
    <s v="P-501"/>
    <x v="4"/>
    <x v="8"/>
    <x v="2"/>
    <x v="2"/>
    <x v="4"/>
    <n v="3"/>
    <n v="110"/>
    <n v="55"/>
    <n v="0"/>
    <n v="330"/>
    <n v="6.6"/>
    <n v="165"/>
    <n v="0.5"/>
  </r>
  <r>
    <s v="ORD-10050"/>
    <x v="48"/>
    <s v="S-07"/>
    <x v="1"/>
    <s v="P-301"/>
    <x v="3"/>
    <x v="12"/>
    <x v="1"/>
    <x v="0"/>
    <x v="1"/>
    <n v="7"/>
    <n v="1150"/>
    <n v="820"/>
    <n v="0.05"/>
    <n v="7647.5"/>
    <n v="305.89999999999998"/>
    <n v="1907.5"/>
    <n v="0.2494279176201373"/>
  </r>
  <r>
    <s v="ORD-10051"/>
    <x v="49"/>
    <s v="S-03"/>
    <x v="2"/>
    <s v="P-203"/>
    <x v="1"/>
    <x v="6"/>
    <x v="2"/>
    <x v="1"/>
    <x v="2"/>
    <n v="13"/>
    <n v="180"/>
    <n v="105"/>
    <n v="0.1"/>
    <n v="2106"/>
    <n v="42.12"/>
    <n v="741"/>
    <n v="0.35185185185185186"/>
  </r>
  <r>
    <s v="ORD-10052"/>
    <x v="50"/>
    <s v="S-05"/>
    <x v="6"/>
    <s v="P-203"/>
    <x v="1"/>
    <x v="6"/>
    <x v="0"/>
    <x v="2"/>
    <x v="6"/>
    <n v="24"/>
    <n v="180"/>
    <n v="105"/>
    <n v="0.2"/>
    <n v="3456"/>
    <n v="69.12"/>
    <n v="936"/>
    <n v="0.27083333333333331"/>
  </r>
  <r>
    <s v="ORD-10053"/>
    <x v="7"/>
    <s v="S-04"/>
    <x v="3"/>
    <s v="P-201"/>
    <x v="1"/>
    <x v="2"/>
    <x v="2"/>
    <x v="2"/>
    <x v="3"/>
    <n v="2"/>
    <n v="240"/>
    <n v="150"/>
    <n v="0"/>
    <n v="480"/>
    <n v="9.6"/>
    <n v="180"/>
    <n v="0.375"/>
  </r>
  <r>
    <s v="ORD-10054"/>
    <x v="51"/>
    <s v="S-01"/>
    <x v="8"/>
    <s v="P-101"/>
    <x v="0"/>
    <x v="0"/>
    <x v="0"/>
    <x v="0"/>
    <x v="8"/>
    <n v="16"/>
    <n v="25"/>
    <n v="11"/>
    <n v="0.15"/>
    <n v="340"/>
    <n v="6.8"/>
    <n v="164"/>
    <n v="0.4823529411764706"/>
  </r>
  <r>
    <s v="ORD-10055"/>
    <x v="52"/>
    <s v="S-09"/>
    <x v="4"/>
    <s v="P-102"/>
    <x v="0"/>
    <x v="14"/>
    <x v="2"/>
    <x v="2"/>
    <x v="4"/>
    <n v="3"/>
    <n v="79"/>
    <n v="38"/>
    <n v="0"/>
    <n v="237"/>
    <n v="4.74"/>
    <n v="123"/>
    <n v="0.51898734177215189"/>
  </r>
  <r>
    <s v="ORD-10056"/>
    <x v="53"/>
    <s v="S-04"/>
    <x v="3"/>
    <s v="P-203"/>
    <x v="1"/>
    <x v="6"/>
    <x v="2"/>
    <x v="2"/>
    <x v="3"/>
    <n v="19"/>
    <n v="180"/>
    <n v="105"/>
    <n v="0.15"/>
    <n v="2907"/>
    <n v="58.14"/>
    <n v="912"/>
    <n v="0.31372549019607843"/>
  </r>
  <r>
    <s v="ORD-10057"/>
    <x v="54"/>
    <s v="S-10"/>
    <x v="9"/>
    <s v="P-101"/>
    <x v="0"/>
    <x v="0"/>
    <x v="0"/>
    <x v="2"/>
    <x v="9"/>
    <n v="3"/>
    <n v="25"/>
    <n v="11"/>
    <n v="0"/>
    <n v="75"/>
    <n v="1.5"/>
    <n v="42"/>
    <n v="0.56000000000000005"/>
  </r>
  <r>
    <s v="ORD-10058"/>
    <x v="55"/>
    <s v="S-10"/>
    <x v="9"/>
    <s v="P-303"/>
    <x v="3"/>
    <x v="5"/>
    <x v="0"/>
    <x v="2"/>
    <x v="9"/>
    <n v="11"/>
    <n v="1050"/>
    <n v="760"/>
    <n v="0.1"/>
    <n v="10395"/>
    <n v="415.8"/>
    <n v="2035"/>
    <n v="0.19576719576719576"/>
  </r>
  <r>
    <s v="ORD-10059"/>
    <x v="56"/>
    <s v="S-06"/>
    <x v="7"/>
    <s v="P-104"/>
    <x v="0"/>
    <x v="10"/>
    <x v="1"/>
    <x v="0"/>
    <x v="7"/>
    <n v="13"/>
    <n v="35"/>
    <n v="14"/>
    <n v="0.1"/>
    <n v="409.5"/>
    <n v="8.19"/>
    <n v="227.5"/>
    <n v="0.55555555555555558"/>
  </r>
  <r>
    <s v="ORD-10060"/>
    <x v="57"/>
    <s v="S-05"/>
    <x v="6"/>
    <s v="P-301"/>
    <x v="3"/>
    <x v="12"/>
    <x v="1"/>
    <x v="2"/>
    <x v="6"/>
    <n v="25"/>
    <n v="1150"/>
    <n v="820"/>
    <n v="0.2"/>
    <n v="23000"/>
    <n v="1380"/>
    <n v="2500"/>
    <n v="0.10869565217391304"/>
  </r>
  <r>
    <s v="ORD-10061"/>
    <x v="58"/>
    <s v="S-08"/>
    <x v="5"/>
    <s v="P-303"/>
    <x v="3"/>
    <x v="5"/>
    <x v="0"/>
    <x v="1"/>
    <x v="5"/>
    <n v="4"/>
    <n v="1050"/>
    <n v="760"/>
    <n v="0"/>
    <n v="4200"/>
    <n v="84"/>
    <n v="1160"/>
    <n v="0.27619047619047621"/>
  </r>
  <r>
    <s v="ORD-10062"/>
    <x v="59"/>
    <s v="S-04"/>
    <x v="3"/>
    <s v="P-302"/>
    <x v="3"/>
    <x v="7"/>
    <x v="1"/>
    <x v="2"/>
    <x v="3"/>
    <n v="5"/>
    <n v="1750"/>
    <n v="1300"/>
    <n v="0"/>
    <n v="8750"/>
    <n v="350"/>
    <n v="2250"/>
    <n v="0.25714285714285712"/>
  </r>
  <r>
    <s v="ORD-10063"/>
    <x v="60"/>
    <s v="S-04"/>
    <x v="3"/>
    <s v="P-202"/>
    <x v="1"/>
    <x v="1"/>
    <x v="1"/>
    <x v="2"/>
    <x v="3"/>
    <n v="6"/>
    <n v="520"/>
    <n v="360"/>
    <n v="0.05"/>
    <n v="2964"/>
    <n v="59.28"/>
    <n v="804"/>
    <n v="0.27125506072874495"/>
  </r>
  <r>
    <s v="ORD-10064"/>
    <x v="61"/>
    <s v="S-05"/>
    <x v="6"/>
    <s v="P-303"/>
    <x v="3"/>
    <x v="5"/>
    <x v="0"/>
    <x v="2"/>
    <x v="6"/>
    <n v="17"/>
    <n v="1050"/>
    <n v="760"/>
    <n v="0.15"/>
    <n v="15172.5"/>
    <n v="910.35"/>
    <n v="2252.5"/>
    <n v="0.1484593837535014"/>
  </r>
  <r>
    <s v="ORD-10065"/>
    <x v="62"/>
    <s v="S-09"/>
    <x v="4"/>
    <s v="P-201"/>
    <x v="1"/>
    <x v="2"/>
    <x v="0"/>
    <x v="2"/>
    <x v="4"/>
    <n v="4"/>
    <n v="240"/>
    <n v="150"/>
    <n v="0"/>
    <n v="960"/>
    <n v="19.2"/>
    <n v="360"/>
    <n v="0.375"/>
  </r>
  <r>
    <s v="ORD-10066"/>
    <x v="19"/>
    <s v="S-02"/>
    <x v="0"/>
    <s v="P-502"/>
    <x v="4"/>
    <x v="11"/>
    <x v="2"/>
    <x v="0"/>
    <x v="0"/>
    <n v="24"/>
    <n v="160"/>
    <n v="88"/>
    <n v="0.2"/>
    <n v="3072"/>
    <n v="61.44"/>
    <n v="960"/>
    <n v="0.3125"/>
  </r>
  <r>
    <s v="ORD-10067"/>
    <x v="63"/>
    <s v="S-05"/>
    <x v="6"/>
    <s v="P-303"/>
    <x v="3"/>
    <x v="5"/>
    <x v="2"/>
    <x v="2"/>
    <x v="6"/>
    <n v="23"/>
    <n v="1050"/>
    <n v="760"/>
    <n v="0.2"/>
    <n v="19320"/>
    <n v="1159.2"/>
    <n v="1840"/>
    <n v="9.5238095238095233E-2"/>
  </r>
  <r>
    <s v="ORD-10068"/>
    <x v="56"/>
    <s v="S-05"/>
    <x v="6"/>
    <s v="P-302"/>
    <x v="3"/>
    <x v="7"/>
    <x v="1"/>
    <x v="2"/>
    <x v="6"/>
    <n v="9"/>
    <n v="1750"/>
    <n v="1300"/>
    <n v="0.05"/>
    <n v="14962.5"/>
    <n v="598.5"/>
    <n v="3262.5"/>
    <n v="0.21804511278195488"/>
  </r>
  <r>
    <s v="ORD-10069"/>
    <x v="64"/>
    <s v="S-07"/>
    <x v="1"/>
    <s v="P-501"/>
    <x v="4"/>
    <x v="8"/>
    <x v="1"/>
    <x v="0"/>
    <x v="1"/>
    <n v="2"/>
    <n v="110"/>
    <n v="55"/>
    <n v="0"/>
    <n v="220"/>
    <n v="4.4000000000000004"/>
    <n v="110"/>
    <n v="0.5"/>
  </r>
  <r>
    <s v="ORD-10070"/>
    <x v="65"/>
    <s v="S-03"/>
    <x v="2"/>
    <s v="P-401"/>
    <x v="2"/>
    <x v="9"/>
    <x v="1"/>
    <x v="1"/>
    <x v="2"/>
    <n v="6"/>
    <n v="210"/>
    <n v="120"/>
    <n v="0.05"/>
    <n v="1197"/>
    <n v="23.94"/>
    <n v="477"/>
    <n v="0.39849624060150374"/>
  </r>
  <r>
    <s v="ORD-10071"/>
    <x v="12"/>
    <s v="S-07"/>
    <x v="1"/>
    <s v="P-302"/>
    <x v="3"/>
    <x v="7"/>
    <x v="2"/>
    <x v="0"/>
    <x v="1"/>
    <n v="4"/>
    <n v="1750"/>
    <n v="1300"/>
    <n v="0"/>
    <n v="7000"/>
    <n v="280"/>
    <n v="1800"/>
    <n v="0.25714285714285712"/>
  </r>
  <r>
    <s v="ORD-10072"/>
    <x v="66"/>
    <s v="S-03"/>
    <x v="2"/>
    <s v="P-302"/>
    <x v="3"/>
    <x v="7"/>
    <x v="2"/>
    <x v="1"/>
    <x v="2"/>
    <n v="12"/>
    <n v="1750"/>
    <n v="1300"/>
    <n v="0.1"/>
    <n v="18900"/>
    <n v="1134"/>
    <n v="3300"/>
    <n v="0.17460317460317459"/>
  </r>
  <r>
    <s v="ORD-10073"/>
    <x v="67"/>
    <s v="S-03"/>
    <x v="2"/>
    <s v="P-101"/>
    <x v="0"/>
    <x v="0"/>
    <x v="1"/>
    <x v="1"/>
    <x v="2"/>
    <n v="12"/>
    <n v="25"/>
    <n v="11"/>
    <n v="0.1"/>
    <n v="270"/>
    <n v="5.4"/>
    <n v="138"/>
    <n v="0.51111111111111107"/>
  </r>
  <r>
    <s v="ORD-10074"/>
    <x v="68"/>
    <s v="S-04"/>
    <x v="3"/>
    <s v="P-401"/>
    <x v="2"/>
    <x v="9"/>
    <x v="2"/>
    <x v="2"/>
    <x v="3"/>
    <n v="22"/>
    <n v="210"/>
    <n v="120"/>
    <n v="0.2"/>
    <n v="3696"/>
    <n v="73.92"/>
    <n v="1056"/>
    <n v="0.2857142857142857"/>
  </r>
  <r>
    <s v="ORD-10075"/>
    <x v="15"/>
    <s v="S-09"/>
    <x v="4"/>
    <s v="P-502"/>
    <x v="4"/>
    <x v="11"/>
    <x v="1"/>
    <x v="2"/>
    <x v="4"/>
    <n v="20"/>
    <n v="160"/>
    <n v="88"/>
    <n v="0.15"/>
    <n v="2720"/>
    <n v="54.4"/>
    <n v="960"/>
    <n v="0.35294117647058826"/>
  </r>
  <r>
    <s v="ORD-10076"/>
    <x v="69"/>
    <s v="S-03"/>
    <x v="2"/>
    <s v="P-403"/>
    <x v="2"/>
    <x v="4"/>
    <x v="2"/>
    <x v="1"/>
    <x v="2"/>
    <n v="14"/>
    <n v="130"/>
    <n v="62"/>
    <n v="0.1"/>
    <n v="1638"/>
    <n v="32.76"/>
    <n v="770"/>
    <n v="0.47008547008547008"/>
  </r>
  <r>
    <s v="ORD-10077"/>
    <x v="70"/>
    <s v="S-06"/>
    <x v="7"/>
    <s v="P-403"/>
    <x v="2"/>
    <x v="4"/>
    <x v="1"/>
    <x v="0"/>
    <x v="7"/>
    <n v="22"/>
    <n v="130"/>
    <n v="62"/>
    <n v="0.2"/>
    <n v="2288"/>
    <n v="45.76"/>
    <n v="924"/>
    <n v="0.40384615384615385"/>
  </r>
  <r>
    <s v="ORD-10078"/>
    <x v="71"/>
    <s v="S-03"/>
    <x v="2"/>
    <s v="P-403"/>
    <x v="2"/>
    <x v="4"/>
    <x v="0"/>
    <x v="1"/>
    <x v="2"/>
    <n v="4"/>
    <n v="130"/>
    <n v="62"/>
    <n v="0"/>
    <n v="520"/>
    <n v="10.4"/>
    <n v="272"/>
    <n v="0.52307692307692311"/>
  </r>
  <r>
    <s v="ORD-10079"/>
    <x v="72"/>
    <s v="S-08"/>
    <x v="5"/>
    <s v="P-104"/>
    <x v="0"/>
    <x v="10"/>
    <x v="2"/>
    <x v="1"/>
    <x v="5"/>
    <n v="15"/>
    <n v="35"/>
    <n v="14"/>
    <n v="0.1"/>
    <n v="472.5"/>
    <n v="9.4499999999999993"/>
    <n v="262.5"/>
    <n v="0.55555555555555558"/>
  </r>
  <r>
    <s v="ORD-10080"/>
    <x v="73"/>
    <s v="S-04"/>
    <x v="3"/>
    <s v="P-104"/>
    <x v="0"/>
    <x v="10"/>
    <x v="2"/>
    <x v="2"/>
    <x v="3"/>
    <n v="22"/>
    <n v="35"/>
    <n v="14"/>
    <n v="0.2"/>
    <n v="616"/>
    <n v="12.32"/>
    <n v="308"/>
    <n v="0.5"/>
  </r>
  <r>
    <s v="ORD-10081"/>
    <x v="74"/>
    <s v="S-06"/>
    <x v="7"/>
    <s v="P-201"/>
    <x v="1"/>
    <x v="2"/>
    <x v="2"/>
    <x v="0"/>
    <x v="7"/>
    <n v="25"/>
    <n v="240"/>
    <n v="150"/>
    <n v="0.2"/>
    <n v="4800"/>
    <n v="96"/>
    <n v="1050"/>
    <n v="0.21875"/>
  </r>
  <r>
    <s v="ORD-10082"/>
    <x v="75"/>
    <s v="S-09"/>
    <x v="4"/>
    <s v="P-203"/>
    <x v="1"/>
    <x v="6"/>
    <x v="0"/>
    <x v="2"/>
    <x v="4"/>
    <n v="18"/>
    <n v="180"/>
    <n v="105"/>
    <n v="0.15"/>
    <n v="2754"/>
    <n v="55.08"/>
    <n v="864"/>
    <n v="0.31372549019607843"/>
  </r>
  <r>
    <s v="ORD-10083"/>
    <x v="76"/>
    <s v="S-02"/>
    <x v="0"/>
    <s v="P-502"/>
    <x v="4"/>
    <x v="11"/>
    <x v="1"/>
    <x v="0"/>
    <x v="0"/>
    <n v="6"/>
    <n v="160"/>
    <n v="88"/>
    <n v="0.05"/>
    <n v="912"/>
    <n v="18.239999999999998"/>
    <n v="384"/>
    <n v="0.42105263157894735"/>
  </r>
  <r>
    <s v="ORD-10084"/>
    <x v="72"/>
    <s v="S-02"/>
    <x v="0"/>
    <s v="P-303"/>
    <x v="3"/>
    <x v="5"/>
    <x v="1"/>
    <x v="0"/>
    <x v="0"/>
    <n v="12"/>
    <n v="1050"/>
    <n v="760"/>
    <n v="0.1"/>
    <n v="11340"/>
    <n v="453.6"/>
    <n v="2220"/>
    <n v="0.19576719576719576"/>
  </r>
  <r>
    <s v="ORD-10085"/>
    <x v="77"/>
    <s v="S-10"/>
    <x v="9"/>
    <s v="P-302"/>
    <x v="3"/>
    <x v="7"/>
    <x v="2"/>
    <x v="2"/>
    <x v="9"/>
    <n v="13"/>
    <n v="1750"/>
    <n v="1300"/>
    <n v="0.1"/>
    <n v="20475"/>
    <n v="1228.5"/>
    <n v="3575"/>
    <n v="0.17460317460317459"/>
  </r>
  <r>
    <s v="ORD-10086"/>
    <x v="78"/>
    <s v="S-01"/>
    <x v="8"/>
    <s v="P-402"/>
    <x v="2"/>
    <x v="3"/>
    <x v="1"/>
    <x v="0"/>
    <x v="8"/>
    <n v="1"/>
    <n v="95"/>
    <n v="44"/>
    <n v="0"/>
    <n v="95"/>
    <n v="1.9"/>
    <n v="51"/>
    <n v="0.5368421052631579"/>
  </r>
  <r>
    <s v="ORD-10087"/>
    <x v="79"/>
    <s v="S-07"/>
    <x v="1"/>
    <s v="P-102"/>
    <x v="0"/>
    <x v="14"/>
    <x v="0"/>
    <x v="0"/>
    <x v="1"/>
    <n v="11"/>
    <n v="79"/>
    <n v="38"/>
    <n v="0.1"/>
    <n v="782.1"/>
    <n v="15.641999999999999"/>
    <n v="364.1"/>
    <n v="0.46554149085794655"/>
  </r>
  <r>
    <s v="ORD-10088"/>
    <x v="80"/>
    <s v="S-02"/>
    <x v="0"/>
    <s v="P-402"/>
    <x v="2"/>
    <x v="3"/>
    <x v="1"/>
    <x v="0"/>
    <x v="0"/>
    <n v="17"/>
    <n v="95"/>
    <n v="44"/>
    <n v="0.15"/>
    <n v="1372.75"/>
    <n v="27.454999999999998"/>
    <n v="624.75"/>
    <n v="0.45510835913312686"/>
  </r>
  <r>
    <s v="ORD-10089"/>
    <x v="62"/>
    <s v="S-07"/>
    <x v="1"/>
    <s v="P-202"/>
    <x v="1"/>
    <x v="1"/>
    <x v="1"/>
    <x v="0"/>
    <x v="1"/>
    <n v="23"/>
    <n v="520"/>
    <n v="360"/>
    <n v="0.2"/>
    <n v="9568"/>
    <n v="382.72"/>
    <n v="1288"/>
    <n v="0.13461538461538461"/>
  </r>
  <r>
    <s v="ORD-10090"/>
    <x v="81"/>
    <s v="S-03"/>
    <x v="2"/>
    <s v="P-104"/>
    <x v="0"/>
    <x v="10"/>
    <x v="1"/>
    <x v="1"/>
    <x v="2"/>
    <n v="22"/>
    <n v="35"/>
    <n v="14"/>
    <n v="0.2"/>
    <n v="616"/>
    <n v="12.32"/>
    <n v="308"/>
    <n v="0.5"/>
  </r>
  <r>
    <s v="ORD-10091"/>
    <x v="82"/>
    <s v="S-03"/>
    <x v="2"/>
    <s v="P-303"/>
    <x v="3"/>
    <x v="5"/>
    <x v="0"/>
    <x v="1"/>
    <x v="2"/>
    <n v="10"/>
    <n v="1050"/>
    <n v="760"/>
    <n v="0.05"/>
    <n v="9975"/>
    <n v="399"/>
    <n v="2375"/>
    <n v="0.23809523809523808"/>
  </r>
  <r>
    <s v="ORD-10092"/>
    <x v="83"/>
    <s v="S-01"/>
    <x v="8"/>
    <s v="P-201"/>
    <x v="1"/>
    <x v="2"/>
    <x v="1"/>
    <x v="0"/>
    <x v="8"/>
    <n v="7"/>
    <n v="240"/>
    <n v="150"/>
    <n v="0.05"/>
    <n v="1596"/>
    <n v="31.92"/>
    <n v="546"/>
    <n v="0.34210526315789475"/>
  </r>
  <r>
    <s v="ORD-10093"/>
    <x v="54"/>
    <s v="S-10"/>
    <x v="9"/>
    <s v="P-401"/>
    <x v="2"/>
    <x v="9"/>
    <x v="1"/>
    <x v="2"/>
    <x v="9"/>
    <n v="15"/>
    <n v="210"/>
    <n v="120"/>
    <n v="0.1"/>
    <n v="2835"/>
    <n v="56.7"/>
    <n v="1035"/>
    <n v="0.36507936507936506"/>
  </r>
  <r>
    <s v="ORD-10094"/>
    <x v="84"/>
    <s v="S-04"/>
    <x v="3"/>
    <s v="P-302"/>
    <x v="3"/>
    <x v="7"/>
    <x v="1"/>
    <x v="2"/>
    <x v="3"/>
    <n v="24"/>
    <n v="1750"/>
    <n v="1300"/>
    <n v="0.2"/>
    <n v="33600"/>
    <n v="2016"/>
    <n v="2400"/>
    <n v="7.1428571428571425E-2"/>
  </r>
  <r>
    <s v="ORD-10095"/>
    <x v="85"/>
    <s v="S-02"/>
    <x v="0"/>
    <s v="P-201"/>
    <x v="1"/>
    <x v="2"/>
    <x v="0"/>
    <x v="0"/>
    <x v="0"/>
    <n v="22"/>
    <n v="240"/>
    <n v="150"/>
    <n v="0.2"/>
    <n v="4224"/>
    <n v="84.48"/>
    <n v="924"/>
    <n v="0.21875"/>
  </r>
  <r>
    <s v="ORD-10096"/>
    <x v="64"/>
    <s v="S-04"/>
    <x v="3"/>
    <s v="P-401"/>
    <x v="2"/>
    <x v="9"/>
    <x v="1"/>
    <x v="2"/>
    <x v="3"/>
    <n v="8"/>
    <n v="210"/>
    <n v="120"/>
    <n v="0.05"/>
    <n v="1596"/>
    <n v="31.92"/>
    <n v="636"/>
    <n v="0.39849624060150374"/>
  </r>
  <r>
    <s v="ORD-10097"/>
    <x v="86"/>
    <s v="S-01"/>
    <x v="8"/>
    <s v="P-101"/>
    <x v="0"/>
    <x v="0"/>
    <x v="2"/>
    <x v="0"/>
    <x v="8"/>
    <n v="16"/>
    <n v="25"/>
    <n v="11"/>
    <n v="0.15"/>
    <n v="340"/>
    <n v="6.8"/>
    <n v="164"/>
    <n v="0.4823529411764706"/>
  </r>
  <r>
    <s v="ORD-10098"/>
    <x v="87"/>
    <s v="S-07"/>
    <x v="1"/>
    <s v="P-502"/>
    <x v="4"/>
    <x v="11"/>
    <x v="0"/>
    <x v="0"/>
    <x v="1"/>
    <n v="19"/>
    <n v="160"/>
    <n v="88"/>
    <n v="0.15"/>
    <n v="2584"/>
    <n v="51.68"/>
    <n v="912"/>
    <n v="0.35294117647058826"/>
  </r>
  <r>
    <s v="ORD-10099"/>
    <x v="88"/>
    <s v="S-07"/>
    <x v="1"/>
    <s v="P-301"/>
    <x v="3"/>
    <x v="12"/>
    <x v="1"/>
    <x v="0"/>
    <x v="1"/>
    <n v="8"/>
    <n v="1150"/>
    <n v="820"/>
    <n v="0.05"/>
    <n v="8740"/>
    <n v="349.6"/>
    <n v="2180"/>
    <n v="0.2494279176201373"/>
  </r>
  <r>
    <s v="ORD-10100"/>
    <x v="89"/>
    <s v="S-01"/>
    <x v="8"/>
    <s v="P-502"/>
    <x v="4"/>
    <x v="11"/>
    <x v="2"/>
    <x v="0"/>
    <x v="8"/>
    <n v="25"/>
    <n v="160"/>
    <n v="88"/>
    <n v="0.2"/>
    <n v="3200"/>
    <n v="64"/>
    <n v="1000"/>
    <n v="0.3125"/>
  </r>
  <r>
    <s v="ORD-10101"/>
    <x v="21"/>
    <s v="S-03"/>
    <x v="2"/>
    <s v="P-403"/>
    <x v="2"/>
    <x v="4"/>
    <x v="0"/>
    <x v="1"/>
    <x v="2"/>
    <n v="17"/>
    <n v="130"/>
    <n v="62"/>
    <n v="0.15"/>
    <n v="1878.5"/>
    <n v="37.57"/>
    <n v="824.5"/>
    <n v="0.43891402714932126"/>
  </r>
  <r>
    <s v="ORD-10102"/>
    <x v="90"/>
    <s v="S-09"/>
    <x v="4"/>
    <s v="P-104"/>
    <x v="0"/>
    <x v="10"/>
    <x v="2"/>
    <x v="2"/>
    <x v="4"/>
    <n v="15"/>
    <n v="35"/>
    <n v="14"/>
    <n v="0.1"/>
    <n v="472.5"/>
    <n v="9.4499999999999993"/>
    <n v="262.5"/>
    <n v="0.55555555555555558"/>
  </r>
  <r>
    <s v="ORD-10103"/>
    <x v="91"/>
    <s v="S-09"/>
    <x v="4"/>
    <s v="P-302"/>
    <x v="3"/>
    <x v="7"/>
    <x v="0"/>
    <x v="2"/>
    <x v="4"/>
    <n v="11"/>
    <n v="1750"/>
    <n v="1300"/>
    <n v="0.1"/>
    <n v="17325"/>
    <n v="1039.5"/>
    <n v="3025"/>
    <n v="0.17460317460317459"/>
  </r>
  <r>
    <s v="ORD-10104"/>
    <x v="92"/>
    <s v="S-09"/>
    <x v="4"/>
    <s v="P-203"/>
    <x v="1"/>
    <x v="6"/>
    <x v="0"/>
    <x v="2"/>
    <x v="4"/>
    <n v="15"/>
    <n v="180"/>
    <n v="105"/>
    <n v="0.1"/>
    <n v="2430"/>
    <n v="48.6"/>
    <n v="855"/>
    <n v="0.35185185185185186"/>
  </r>
  <r>
    <s v="ORD-10105"/>
    <x v="93"/>
    <s v="S-08"/>
    <x v="5"/>
    <s v="P-201"/>
    <x v="1"/>
    <x v="2"/>
    <x v="2"/>
    <x v="1"/>
    <x v="5"/>
    <n v="21"/>
    <n v="240"/>
    <n v="150"/>
    <n v="0.2"/>
    <n v="4032"/>
    <n v="80.64"/>
    <n v="882"/>
    <n v="0.21875"/>
  </r>
  <r>
    <s v="ORD-10106"/>
    <x v="94"/>
    <s v="S-08"/>
    <x v="5"/>
    <s v="P-401"/>
    <x v="2"/>
    <x v="9"/>
    <x v="2"/>
    <x v="1"/>
    <x v="5"/>
    <n v="9"/>
    <n v="210"/>
    <n v="120"/>
    <n v="0.05"/>
    <n v="1795.5"/>
    <n v="35.909999999999997"/>
    <n v="715.5"/>
    <n v="0.39849624060150374"/>
  </r>
  <r>
    <s v="ORD-10107"/>
    <x v="95"/>
    <s v="S-05"/>
    <x v="6"/>
    <s v="P-104"/>
    <x v="0"/>
    <x v="10"/>
    <x v="1"/>
    <x v="2"/>
    <x v="6"/>
    <n v="11"/>
    <n v="35"/>
    <n v="14"/>
    <n v="0.1"/>
    <n v="346.5"/>
    <n v="6.93"/>
    <n v="192.5"/>
    <n v="0.55555555555555558"/>
  </r>
  <r>
    <s v="ORD-10108"/>
    <x v="40"/>
    <s v="S-02"/>
    <x v="0"/>
    <s v="P-103"/>
    <x v="0"/>
    <x v="13"/>
    <x v="2"/>
    <x v="0"/>
    <x v="0"/>
    <n v="8"/>
    <n v="45"/>
    <n v="19"/>
    <n v="0.05"/>
    <n v="342"/>
    <n v="6.84"/>
    <n v="190"/>
    <n v="0.55555555555555558"/>
  </r>
  <r>
    <s v="ORD-10109"/>
    <x v="96"/>
    <s v="S-03"/>
    <x v="2"/>
    <s v="P-402"/>
    <x v="2"/>
    <x v="3"/>
    <x v="2"/>
    <x v="1"/>
    <x v="2"/>
    <n v="3"/>
    <n v="95"/>
    <n v="44"/>
    <n v="0"/>
    <n v="285"/>
    <n v="5.7"/>
    <n v="153"/>
    <n v="0.5368421052631579"/>
  </r>
  <r>
    <s v="ORD-10110"/>
    <x v="97"/>
    <s v="S-06"/>
    <x v="7"/>
    <s v="P-302"/>
    <x v="3"/>
    <x v="7"/>
    <x v="1"/>
    <x v="0"/>
    <x v="7"/>
    <n v="14"/>
    <n v="1750"/>
    <n v="1300"/>
    <n v="0.1"/>
    <n v="22050"/>
    <n v="1323"/>
    <n v="3850"/>
    <n v="0.17460317460317459"/>
  </r>
  <r>
    <s v="ORD-10111"/>
    <x v="98"/>
    <s v="S-07"/>
    <x v="1"/>
    <s v="P-203"/>
    <x v="1"/>
    <x v="6"/>
    <x v="0"/>
    <x v="0"/>
    <x v="1"/>
    <n v="23"/>
    <n v="180"/>
    <n v="105"/>
    <n v="0.2"/>
    <n v="3312"/>
    <n v="66.239999999999995"/>
    <n v="897"/>
    <n v="0.27083333333333331"/>
  </r>
  <r>
    <s v="ORD-10112"/>
    <x v="99"/>
    <s v="S-07"/>
    <x v="1"/>
    <s v="P-301"/>
    <x v="3"/>
    <x v="12"/>
    <x v="2"/>
    <x v="0"/>
    <x v="1"/>
    <n v="12"/>
    <n v="1150"/>
    <n v="820"/>
    <n v="0.1"/>
    <n v="12420"/>
    <n v="496.8"/>
    <n v="2580"/>
    <n v="0.20772946859903385"/>
  </r>
  <r>
    <s v="ORD-10113"/>
    <x v="100"/>
    <s v="S-07"/>
    <x v="1"/>
    <s v="P-302"/>
    <x v="3"/>
    <x v="7"/>
    <x v="0"/>
    <x v="0"/>
    <x v="1"/>
    <n v="24"/>
    <n v="1750"/>
    <n v="1300"/>
    <n v="0.2"/>
    <n v="33600"/>
    <n v="2016"/>
    <n v="2400"/>
    <n v="7.1428571428571425E-2"/>
  </r>
  <r>
    <s v="ORD-10114"/>
    <x v="101"/>
    <s v="S-04"/>
    <x v="3"/>
    <s v="P-201"/>
    <x v="1"/>
    <x v="2"/>
    <x v="1"/>
    <x v="2"/>
    <x v="3"/>
    <n v="16"/>
    <n v="240"/>
    <n v="150"/>
    <n v="0.15"/>
    <n v="3264"/>
    <n v="65.28"/>
    <n v="864"/>
    <n v="0.26470588235294118"/>
  </r>
  <r>
    <s v="ORD-10115"/>
    <x v="100"/>
    <s v="S-06"/>
    <x v="7"/>
    <s v="P-401"/>
    <x v="2"/>
    <x v="9"/>
    <x v="0"/>
    <x v="0"/>
    <x v="7"/>
    <n v="13"/>
    <n v="210"/>
    <n v="120"/>
    <n v="0.1"/>
    <n v="2457"/>
    <n v="49.14"/>
    <n v="897"/>
    <n v="0.36507936507936506"/>
  </r>
  <r>
    <s v="ORD-10116"/>
    <x v="102"/>
    <s v="S-03"/>
    <x v="2"/>
    <s v="P-303"/>
    <x v="3"/>
    <x v="5"/>
    <x v="0"/>
    <x v="1"/>
    <x v="2"/>
    <n v="1"/>
    <n v="1050"/>
    <n v="760"/>
    <n v="0"/>
    <n v="1050"/>
    <n v="21"/>
    <n v="290"/>
    <n v="0.27619047619047621"/>
  </r>
  <r>
    <s v="ORD-10117"/>
    <x v="103"/>
    <s v="S-10"/>
    <x v="9"/>
    <s v="P-401"/>
    <x v="2"/>
    <x v="9"/>
    <x v="2"/>
    <x v="2"/>
    <x v="9"/>
    <n v="3"/>
    <n v="210"/>
    <n v="120"/>
    <n v="0"/>
    <n v="630"/>
    <n v="12.6"/>
    <n v="270"/>
    <n v="0.42857142857142855"/>
  </r>
  <r>
    <s v="ORD-10118"/>
    <x v="104"/>
    <s v="S-08"/>
    <x v="5"/>
    <s v="P-103"/>
    <x v="0"/>
    <x v="13"/>
    <x v="2"/>
    <x v="1"/>
    <x v="5"/>
    <n v="9"/>
    <n v="45"/>
    <n v="19"/>
    <n v="0.05"/>
    <n v="384.75"/>
    <n v="7.6950000000000003"/>
    <n v="213.75"/>
    <n v="0.55555555555555558"/>
  </r>
  <r>
    <s v="ORD-10119"/>
    <x v="105"/>
    <s v="S-04"/>
    <x v="3"/>
    <s v="P-301"/>
    <x v="3"/>
    <x v="12"/>
    <x v="1"/>
    <x v="2"/>
    <x v="3"/>
    <n v="11"/>
    <n v="1150"/>
    <n v="820"/>
    <n v="0.1"/>
    <n v="11385"/>
    <n v="455.4"/>
    <n v="2365"/>
    <n v="0.20772946859903385"/>
  </r>
  <r>
    <s v="ORD-10120"/>
    <x v="14"/>
    <s v="S-07"/>
    <x v="1"/>
    <s v="P-201"/>
    <x v="1"/>
    <x v="2"/>
    <x v="2"/>
    <x v="0"/>
    <x v="1"/>
    <n v="16"/>
    <n v="240"/>
    <n v="150"/>
    <n v="0.15"/>
    <n v="3264"/>
    <n v="65.28"/>
    <n v="864"/>
    <n v="0.26470588235294118"/>
  </r>
  <r>
    <s v="ORD-10121"/>
    <x v="40"/>
    <s v="S-01"/>
    <x v="8"/>
    <s v="P-202"/>
    <x v="1"/>
    <x v="1"/>
    <x v="2"/>
    <x v="0"/>
    <x v="8"/>
    <n v="21"/>
    <n v="520"/>
    <n v="360"/>
    <n v="0.2"/>
    <n v="8736"/>
    <n v="349.44"/>
    <n v="1176"/>
    <n v="0.13461538461538461"/>
  </r>
  <r>
    <s v="ORD-10122"/>
    <x v="47"/>
    <s v="S-01"/>
    <x v="8"/>
    <s v="P-403"/>
    <x v="2"/>
    <x v="4"/>
    <x v="2"/>
    <x v="0"/>
    <x v="8"/>
    <n v="8"/>
    <n v="130"/>
    <n v="62"/>
    <n v="0.05"/>
    <n v="988"/>
    <n v="19.760000000000002"/>
    <n v="492"/>
    <n v="0.49797570850202422"/>
  </r>
  <r>
    <s v="ORD-10123"/>
    <x v="106"/>
    <s v="S-10"/>
    <x v="9"/>
    <s v="P-103"/>
    <x v="0"/>
    <x v="13"/>
    <x v="2"/>
    <x v="2"/>
    <x v="9"/>
    <n v="5"/>
    <n v="45"/>
    <n v="19"/>
    <n v="0"/>
    <n v="225"/>
    <n v="4.5"/>
    <n v="130"/>
    <n v="0.57777777777777772"/>
  </r>
  <r>
    <s v="ORD-10124"/>
    <x v="107"/>
    <s v="S-02"/>
    <x v="0"/>
    <s v="P-303"/>
    <x v="3"/>
    <x v="5"/>
    <x v="2"/>
    <x v="0"/>
    <x v="0"/>
    <n v="15"/>
    <n v="1050"/>
    <n v="760"/>
    <n v="0.1"/>
    <n v="14175"/>
    <n v="567"/>
    <n v="2775"/>
    <n v="0.19576719576719576"/>
  </r>
  <r>
    <s v="ORD-10125"/>
    <x v="108"/>
    <s v="S-03"/>
    <x v="2"/>
    <s v="P-303"/>
    <x v="3"/>
    <x v="5"/>
    <x v="0"/>
    <x v="1"/>
    <x v="2"/>
    <n v="24"/>
    <n v="1050"/>
    <n v="760"/>
    <n v="0.2"/>
    <n v="20160"/>
    <n v="1209.5999999999999"/>
    <n v="1920"/>
    <n v="9.5238095238095233E-2"/>
  </r>
  <r>
    <s v="ORD-10126"/>
    <x v="109"/>
    <s v="S-05"/>
    <x v="6"/>
    <s v="P-102"/>
    <x v="0"/>
    <x v="14"/>
    <x v="0"/>
    <x v="2"/>
    <x v="6"/>
    <n v="1"/>
    <n v="79"/>
    <n v="38"/>
    <n v="0"/>
    <n v="79"/>
    <n v="1.58"/>
    <n v="41"/>
    <n v="0.51898734177215189"/>
  </r>
  <r>
    <s v="ORD-10127"/>
    <x v="99"/>
    <s v="S-07"/>
    <x v="1"/>
    <s v="P-203"/>
    <x v="1"/>
    <x v="6"/>
    <x v="0"/>
    <x v="0"/>
    <x v="1"/>
    <n v="7"/>
    <n v="180"/>
    <n v="105"/>
    <n v="0.05"/>
    <n v="1197"/>
    <n v="23.94"/>
    <n v="462"/>
    <n v="0.38596491228070173"/>
  </r>
  <r>
    <s v="ORD-10128"/>
    <x v="103"/>
    <s v="S-04"/>
    <x v="3"/>
    <s v="P-102"/>
    <x v="0"/>
    <x v="14"/>
    <x v="0"/>
    <x v="2"/>
    <x v="3"/>
    <n v="25"/>
    <n v="79"/>
    <n v="38"/>
    <n v="0.2"/>
    <n v="1580"/>
    <n v="31.6"/>
    <n v="630"/>
    <n v="0.39873417721518994"/>
  </r>
  <r>
    <s v="ORD-10129"/>
    <x v="16"/>
    <s v="S-10"/>
    <x v="9"/>
    <s v="P-403"/>
    <x v="2"/>
    <x v="4"/>
    <x v="2"/>
    <x v="2"/>
    <x v="9"/>
    <n v="19"/>
    <n v="130"/>
    <n v="62"/>
    <n v="0.15"/>
    <n v="2099.5"/>
    <n v="41.99"/>
    <n v="921.5"/>
    <n v="0.43891402714932126"/>
  </r>
  <r>
    <s v="ORD-10130"/>
    <x v="110"/>
    <s v="S-09"/>
    <x v="4"/>
    <s v="P-203"/>
    <x v="1"/>
    <x v="6"/>
    <x v="0"/>
    <x v="2"/>
    <x v="4"/>
    <n v="12"/>
    <n v="180"/>
    <n v="105"/>
    <n v="0.1"/>
    <n v="1944"/>
    <n v="38.880000000000003"/>
    <n v="684"/>
    <n v="0.35185185185185186"/>
  </r>
  <r>
    <s v="ORD-10131"/>
    <x v="111"/>
    <s v="S-06"/>
    <x v="7"/>
    <s v="P-101"/>
    <x v="0"/>
    <x v="0"/>
    <x v="1"/>
    <x v="0"/>
    <x v="7"/>
    <n v="16"/>
    <n v="25"/>
    <n v="11"/>
    <n v="0.15"/>
    <n v="340"/>
    <n v="6.8"/>
    <n v="164"/>
    <n v="0.4823529411764706"/>
  </r>
  <r>
    <s v="ORD-10132"/>
    <x v="112"/>
    <s v="S-06"/>
    <x v="7"/>
    <s v="P-401"/>
    <x v="2"/>
    <x v="9"/>
    <x v="1"/>
    <x v="0"/>
    <x v="7"/>
    <n v="23"/>
    <n v="210"/>
    <n v="120"/>
    <n v="0.2"/>
    <n v="3864"/>
    <n v="77.28"/>
    <n v="1104"/>
    <n v="0.2857142857142857"/>
  </r>
  <r>
    <s v="ORD-10133"/>
    <x v="113"/>
    <s v="S-03"/>
    <x v="2"/>
    <s v="P-402"/>
    <x v="2"/>
    <x v="3"/>
    <x v="0"/>
    <x v="1"/>
    <x v="2"/>
    <n v="21"/>
    <n v="95"/>
    <n v="44"/>
    <n v="0.2"/>
    <n v="1596"/>
    <n v="31.92"/>
    <n v="672"/>
    <n v="0.42105263157894735"/>
  </r>
  <r>
    <s v="ORD-10134"/>
    <x v="114"/>
    <s v="S-09"/>
    <x v="4"/>
    <s v="P-403"/>
    <x v="2"/>
    <x v="4"/>
    <x v="1"/>
    <x v="2"/>
    <x v="4"/>
    <n v="15"/>
    <n v="130"/>
    <n v="62"/>
    <n v="0.1"/>
    <n v="1755"/>
    <n v="35.1"/>
    <n v="825"/>
    <n v="0.47008547008547008"/>
  </r>
  <r>
    <s v="ORD-10135"/>
    <x v="103"/>
    <s v="S-05"/>
    <x v="6"/>
    <s v="P-202"/>
    <x v="1"/>
    <x v="1"/>
    <x v="2"/>
    <x v="2"/>
    <x v="6"/>
    <n v="3"/>
    <n v="520"/>
    <n v="360"/>
    <n v="0"/>
    <n v="1560"/>
    <n v="31.2"/>
    <n v="480"/>
    <n v="0.30769230769230771"/>
  </r>
  <r>
    <s v="ORD-10136"/>
    <x v="115"/>
    <s v="S-04"/>
    <x v="3"/>
    <s v="P-403"/>
    <x v="2"/>
    <x v="4"/>
    <x v="1"/>
    <x v="2"/>
    <x v="3"/>
    <n v="19"/>
    <n v="130"/>
    <n v="62"/>
    <n v="0.15"/>
    <n v="2099.5"/>
    <n v="41.99"/>
    <n v="921.5"/>
    <n v="0.43891402714932126"/>
  </r>
  <r>
    <s v="ORD-10137"/>
    <x v="116"/>
    <s v="S-01"/>
    <x v="8"/>
    <s v="P-301"/>
    <x v="3"/>
    <x v="12"/>
    <x v="1"/>
    <x v="0"/>
    <x v="8"/>
    <n v="6"/>
    <n v="1150"/>
    <n v="820"/>
    <n v="0.05"/>
    <n v="6555"/>
    <n v="262.2"/>
    <n v="1635"/>
    <n v="0.2494279176201373"/>
  </r>
  <r>
    <s v="ORD-10138"/>
    <x v="18"/>
    <s v="S-06"/>
    <x v="7"/>
    <s v="P-403"/>
    <x v="2"/>
    <x v="4"/>
    <x v="1"/>
    <x v="0"/>
    <x v="7"/>
    <n v="11"/>
    <n v="130"/>
    <n v="62"/>
    <n v="0.1"/>
    <n v="1287"/>
    <n v="25.74"/>
    <n v="605"/>
    <n v="0.47008547008547008"/>
  </r>
  <r>
    <s v="ORD-10139"/>
    <x v="23"/>
    <s v="S-05"/>
    <x v="6"/>
    <s v="P-302"/>
    <x v="3"/>
    <x v="7"/>
    <x v="2"/>
    <x v="2"/>
    <x v="6"/>
    <n v="17"/>
    <n v="1750"/>
    <n v="1300"/>
    <n v="0.15"/>
    <n v="25287.5"/>
    <n v="1517.25"/>
    <n v="3187.5"/>
    <n v="0.12605042016806722"/>
  </r>
  <r>
    <s v="ORD-10140"/>
    <x v="32"/>
    <s v="S-04"/>
    <x v="3"/>
    <s v="P-402"/>
    <x v="2"/>
    <x v="3"/>
    <x v="1"/>
    <x v="2"/>
    <x v="3"/>
    <n v="16"/>
    <n v="95"/>
    <n v="44"/>
    <n v="0.15"/>
    <n v="1292"/>
    <n v="25.84"/>
    <n v="588"/>
    <n v="0.45510835913312686"/>
  </r>
  <r>
    <s v="ORD-10141"/>
    <x v="66"/>
    <s v="S-08"/>
    <x v="5"/>
    <s v="P-401"/>
    <x v="2"/>
    <x v="9"/>
    <x v="0"/>
    <x v="1"/>
    <x v="5"/>
    <n v="16"/>
    <n v="210"/>
    <n v="120"/>
    <n v="0.15"/>
    <n v="2856"/>
    <n v="57.12"/>
    <n v="936"/>
    <n v="0.32773109243697479"/>
  </r>
  <r>
    <s v="ORD-10142"/>
    <x v="117"/>
    <s v="S-02"/>
    <x v="0"/>
    <s v="P-201"/>
    <x v="1"/>
    <x v="2"/>
    <x v="2"/>
    <x v="0"/>
    <x v="0"/>
    <n v="13"/>
    <n v="240"/>
    <n v="150"/>
    <n v="0.1"/>
    <n v="2808"/>
    <n v="56.16"/>
    <n v="858"/>
    <n v="0.30555555555555558"/>
  </r>
  <r>
    <s v="ORD-10143"/>
    <x v="73"/>
    <s v="S-10"/>
    <x v="9"/>
    <s v="P-202"/>
    <x v="1"/>
    <x v="1"/>
    <x v="1"/>
    <x v="2"/>
    <x v="9"/>
    <n v="18"/>
    <n v="520"/>
    <n v="360"/>
    <n v="0.15"/>
    <n v="7956"/>
    <n v="318.24"/>
    <n v="1476"/>
    <n v="0.18552036199095023"/>
  </r>
  <r>
    <s v="ORD-10144"/>
    <x v="118"/>
    <s v="S-09"/>
    <x v="4"/>
    <s v="P-202"/>
    <x v="1"/>
    <x v="1"/>
    <x v="1"/>
    <x v="2"/>
    <x v="4"/>
    <n v="23"/>
    <n v="520"/>
    <n v="360"/>
    <n v="0.2"/>
    <n v="9568"/>
    <n v="382.72"/>
    <n v="1288"/>
    <n v="0.13461538461538461"/>
  </r>
  <r>
    <s v="ORD-10145"/>
    <x v="119"/>
    <s v="S-05"/>
    <x v="6"/>
    <s v="P-201"/>
    <x v="1"/>
    <x v="2"/>
    <x v="2"/>
    <x v="2"/>
    <x v="6"/>
    <n v="4"/>
    <n v="240"/>
    <n v="150"/>
    <n v="0"/>
    <n v="960"/>
    <n v="19.2"/>
    <n v="360"/>
    <n v="0.375"/>
  </r>
  <r>
    <s v="ORD-10146"/>
    <x v="17"/>
    <s v="S-02"/>
    <x v="0"/>
    <s v="P-402"/>
    <x v="2"/>
    <x v="3"/>
    <x v="0"/>
    <x v="0"/>
    <x v="0"/>
    <n v="25"/>
    <n v="95"/>
    <n v="44"/>
    <n v="0.2"/>
    <n v="1900"/>
    <n v="38"/>
    <n v="800"/>
    <n v="0.42105263157894735"/>
  </r>
  <r>
    <s v="ORD-10147"/>
    <x v="120"/>
    <s v="S-04"/>
    <x v="3"/>
    <s v="P-402"/>
    <x v="2"/>
    <x v="3"/>
    <x v="1"/>
    <x v="2"/>
    <x v="3"/>
    <n v="9"/>
    <n v="95"/>
    <n v="44"/>
    <n v="0.05"/>
    <n v="812.25"/>
    <n v="16.245000000000001"/>
    <n v="416.25"/>
    <n v="0.51246537396121883"/>
  </r>
  <r>
    <s v="ORD-10148"/>
    <x v="121"/>
    <s v="S-04"/>
    <x v="3"/>
    <s v="P-201"/>
    <x v="1"/>
    <x v="2"/>
    <x v="2"/>
    <x v="2"/>
    <x v="3"/>
    <n v="12"/>
    <n v="240"/>
    <n v="150"/>
    <n v="0.1"/>
    <n v="2592"/>
    <n v="51.84"/>
    <n v="792"/>
    <n v="0.30555555555555558"/>
  </r>
  <r>
    <s v="ORD-10149"/>
    <x v="122"/>
    <s v="S-01"/>
    <x v="8"/>
    <s v="P-402"/>
    <x v="2"/>
    <x v="3"/>
    <x v="0"/>
    <x v="0"/>
    <x v="8"/>
    <n v="5"/>
    <n v="95"/>
    <n v="44"/>
    <n v="0"/>
    <n v="475"/>
    <n v="9.5"/>
    <n v="255"/>
    <n v="0.5368421052631579"/>
  </r>
  <r>
    <s v="ORD-10150"/>
    <x v="123"/>
    <s v="S-01"/>
    <x v="8"/>
    <s v="P-302"/>
    <x v="3"/>
    <x v="7"/>
    <x v="1"/>
    <x v="0"/>
    <x v="8"/>
    <n v="23"/>
    <n v="1750"/>
    <n v="1300"/>
    <n v="0.2"/>
    <n v="32200"/>
    <n v="1932"/>
    <n v="2300"/>
    <n v="7.1428571428571425E-2"/>
  </r>
  <r>
    <s v="ORD-10151"/>
    <x v="124"/>
    <s v="S-08"/>
    <x v="5"/>
    <s v="P-102"/>
    <x v="0"/>
    <x v="14"/>
    <x v="2"/>
    <x v="1"/>
    <x v="5"/>
    <n v="19"/>
    <n v="79"/>
    <n v="38"/>
    <n v="0.15"/>
    <n v="1275.8499999999999"/>
    <n v="25.516999999999999"/>
    <n v="553.85"/>
    <n v="0.43410275502606094"/>
  </r>
  <r>
    <s v="ORD-10152"/>
    <x v="125"/>
    <s v="S-08"/>
    <x v="5"/>
    <s v="P-301"/>
    <x v="3"/>
    <x v="12"/>
    <x v="1"/>
    <x v="1"/>
    <x v="5"/>
    <n v="6"/>
    <n v="1150"/>
    <n v="820"/>
    <n v="0.05"/>
    <n v="6555"/>
    <n v="262.2"/>
    <n v="1635"/>
    <n v="0.2494279176201373"/>
  </r>
  <r>
    <s v="ORD-10153"/>
    <x v="126"/>
    <s v="S-08"/>
    <x v="5"/>
    <s v="P-102"/>
    <x v="0"/>
    <x v="14"/>
    <x v="2"/>
    <x v="1"/>
    <x v="5"/>
    <n v="13"/>
    <n v="79"/>
    <n v="38"/>
    <n v="0.1"/>
    <n v="924.3"/>
    <n v="18.486000000000001"/>
    <n v="430.3"/>
    <n v="0.4655414908579466"/>
  </r>
  <r>
    <s v="ORD-10154"/>
    <x v="127"/>
    <s v="S-10"/>
    <x v="9"/>
    <s v="P-401"/>
    <x v="2"/>
    <x v="9"/>
    <x v="0"/>
    <x v="2"/>
    <x v="9"/>
    <n v="2"/>
    <n v="210"/>
    <n v="120"/>
    <n v="0"/>
    <n v="420"/>
    <n v="8.4"/>
    <n v="180"/>
    <n v="0.42857142857142855"/>
  </r>
  <r>
    <s v="ORD-10155"/>
    <x v="128"/>
    <s v="S-10"/>
    <x v="9"/>
    <s v="P-201"/>
    <x v="1"/>
    <x v="2"/>
    <x v="2"/>
    <x v="2"/>
    <x v="9"/>
    <n v="8"/>
    <n v="240"/>
    <n v="150"/>
    <n v="0.05"/>
    <n v="1824"/>
    <n v="36.479999999999997"/>
    <n v="624"/>
    <n v="0.34210526315789475"/>
  </r>
  <r>
    <s v="ORD-10156"/>
    <x v="129"/>
    <s v="S-07"/>
    <x v="1"/>
    <s v="P-303"/>
    <x v="3"/>
    <x v="5"/>
    <x v="0"/>
    <x v="0"/>
    <x v="1"/>
    <n v="20"/>
    <n v="1050"/>
    <n v="760"/>
    <n v="0.15"/>
    <n v="17850"/>
    <n v="1071"/>
    <n v="2650"/>
    <n v="0.1484593837535014"/>
  </r>
  <r>
    <s v="ORD-10157"/>
    <x v="130"/>
    <s v="S-07"/>
    <x v="1"/>
    <s v="P-301"/>
    <x v="3"/>
    <x v="12"/>
    <x v="1"/>
    <x v="0"/>
    <x v="1"/>
    <n v="10"/>
    <n v="1150"/>
    <n v="820"/>
    <n v="0.05"/>
    <n v="10925"/>
    <n v="437"/>
    <n v="2725"/>
    <n v="0.2494279176201373"/>
  </r>
  <r>
    <s v="ORD-10158"/>
    <x v="73"/>
    <s v="S-10"/>
    <x v="9"/>
    <s v="P-303"/>
    <x v="3"/>
    <x v="5"/>
    <x v="2"/>
    <x v="2"/>
    <x v="9"/>
    <n v="20"/>
    <n v="1050"/>
    <n v="760"/>
    <n v="0.15"/>
    <n v="17850"/>
    <n v="1071"/>
    <n v="2650"/>
    <n v="0.1484593837535014"/>
  </r>
  <r>
    <s v="ORD-10159"/>
    <x v="131"/>
    <s v="S-04"/>
    <x v="3"/>
    <s v="P-201"/>
    <x v="1"/>
    <x v="2"/>
    <x v="0"/>
    <x v="2"/>
    <x v="3"/>
    <n v="3"/>
    <n v="240"/>
    <n v="150"/>
    <n v="0"/>
    <n v="720"/>
    <n v="14.4"/>
    <n v="270"/>
    <n v="0.375"/>
  </r>
  <r>
    <s v="ORD-10160"/>
    <x v="132"/>
    <s v="S-03"/>
    <x v="2"/>
    <s v="P-302"/>
    <x v="3"/>
    <x v="7"/>
    <x v="2"/>
    <x v="1"/>
    <x v="2"/>
    <n v="6"/>
    <n v="1750"/>
    <n v="1300"/>
    <n v="0.05"/>
    <n v="9975"/>
    <n v="399"/>
    <n v="2175"/>
    <n v="0.21804511278195488"/>
  </r>
  <r>
    <s v="ORD-10161"/>
    <x v="133"/>
    <s v="S-08"/>
    <x v="5"/>
    <s v="P-402"/>
    <x v="2"/>
    <x v="3"/>
    <x v="0"/>
    <x v="1"/>
    <x v="5"/>
    <n v="16"/>
    <n v="95"/>
    <n v="44"/>
    <n v="0.15"/>
    <n v="1292"/>
    <n v="25.84"/>
    <n v="588"/>
    <n v="0.45510835913312686"/>
  </r>
  <r>
    <s v="ORD-10162"/>
    <x v="134"/>
    <s v="S-04"/>
    <x v="3"/>
    <s v="P-201"/>
    <x v="1"/>
    <x v="2"/>
    <x v="0"/>
    <x v="2"/>
    <x v="3"/>
    <n v="10"/>
    <n v="240"/>
    <n v="150"/>
    <n v="0.05"/>
    <n v="2280"/>
    <n v="45.6"/>
    <n v="780"/>
    <n v="0.34210526315789475"/>
  </r>
  <r>
    <s v="ORD-10163"/>
    <x v="135"/>
    <s v="S-04"/>
    <x v="3"/>
    <s v="P-502"/>
    <x v="4"/>
    <x v="11"/>
    <x v="1"/>
    <x v="2"/>
    <x v="3"/>
    <n v="21"/>
    <n v="160"/>
    <n v="88"/>
    <n v="0.2"/>
    <n v="2688"/>
    <n v="53.76"/>
    <n v="840"/>
    <n v="0.3125"/>
  </r>
  <r>
    <s v="ORD-10164"/>
    <x v="118"/>
    <s v="S-02"/>
    <x v="0"/>
    <s v="P-302"/>
    <x v="3"/>
    <x v="7"/>
    <x v="2"/>
    <x v="0"/>
    <x v="0"/>
    <n v="21"/>
    <n v="1750"/>
    <n v="1300"/>
    <n v="0.2"/>
    <n v="29400"/>
    <n v="1764"/>
    <n v="2100"/>
    <n v="7.1428571428571425E-2"/>
  </r>
  <r>
    <s v="ORD-10165"/>
    <x v="71"/>
    <s v="S-03"/>
    <x v="2"/>
    <s v="P-102"/>
    <x v="0"/>
    <x v="14"/>
    <x v="2"/>
    <x v="1"/>
    <x v="2"/>
    <n v="6"/>
    <n v="79"/>
    <n v="38"/>
    <n v="0.05"/>
    <n v="450.3"/>
    <n v="9.0060000000000002"/>
    <n v="222.3"/>
    <n v="0.49367088607594933"/>
  </r>
  <r>
    <s v="ORD-10166"/>
    <x v="136"/>
    <s v="S-10"/>
    <x v="9"/>
    <s v="P-502"/>
    <x v="4"/>
    <x v="11"/>
    <x v="1"/>
    <x v="2"/>
    <x v="9"/>
    <n v="15"/>
    <n v="160"/>
    <n v="88"/>
    <n v="0.1"/>
    <n v="2160"/>
    <n v="43.2"/>
    <n v="840"/>
    <n v="0.3888888888888889"/>
  </r>
  <r>
    <s v="ORD-10167"/>
    <x v="102"/>
    <s v="S-05"/>
    <x v="6"/>
    <s v="P-402"/>
    <x v="2"/>
    <x v="3"/>
    <x v="1"/>
    <x v="2"/>
    <x v="6"/>
    <n v="9"/>
    <n v="95"/>
    <n v="44"/>
    <n v="0.05"/>
    <n v="812.25"/>
    <n v="16.245000000000001"/>
    <n v="416.25"/>
    <n v="0.51246537396121883"/>
  </r>
  <r>
    <s v="ORD-10168"/>
    <x v="35"/>
    <s v="S-02"/>
    <x v="0"/>
    <s v="P-303"/>
    <x v="3"/>
    <x v="5"/>
    <x v="2"/>
    <x v="0"/>
    <x v="0"/>
    <n v="14"/>
    <n v="1050"/>
    <n v="760"/>
    <n v="0.1"/>
    <n v="13230"/>
    <n v="529.20000000000005"/>
    <n v="2590"/>
    <n v="0.19576719576719576"/>
  </r>
  <r>
    <s v="ORD-10169"/>
    <x v="137"/>
    <s v="S-05"/>
    <x v="6"/>
    <s v="P-101"/>
    <x v="0"/>
    <x v="0"/>
    <x v="2"/>
    <x v="2"/>
    <x v="6"/>
    <n v="8"/>
    <n v="25"/>
    <n v="11"/>
    <n v="0.05"/>
    <n v="190"/>
    <n v="3.8"/>
    <n v="102"/>
    <n v="0.5368421052631579"/>
  </r>
  <r>
    <s v="ORD-10170"/>
    <x v="138"/>
    <s v="S-05"/>
    <x v="6"/>
    <s v="P-303"/>
    <x v="3"/>
    <x v="5"/>
    <x v="2"/>
    <x v="2"/>
    <x v="6"/>
    <n v="25"/>
    <n v="1050"/>
    <n v="760"/>
    <n v="0.2"/>
    <n v="21000"/>
    <n v="1260"/>
    <n v="2000"/>
    <n v="9.5238095238095233E-2"/>
  </r>
  <r>
    <s v="ORD-10171"/>
    <x v="125"/>
    <s v="S-09"/>
    <x v="4"/>
    <s v="P-401"/>
    <x v="2"/>
    <x v="9"/>
    <x v="1"/>
    <x v="2"/>
    <x v="4"/>
    <n v="9"/>
    <n v="210"/>
    <n v="120"/>
    <n v="0.05"/>
    <n v="1795.5"/>
    <n v="35.909999999999997"/>
    <n v="715.5"/>
    <n v="0.39849624060150374"/>
  </r>
  <r>
    <s v="ORD-10172"/>
    <x v="20"/>
    <s v="S-07"/>
    <x v="1"/>
    <s v="P-401"/>
    <x v="2"/>
    <x v="9"/>
    <x v="1"/>
    <x v="0"/>
    <x v="1"/>
    <n v="3"/>
    <n v="210"/>
    <n v="120"/>
    <n v="0"/>
    <n v="630"/>
    <n v="12.6"/>
    <n v="270"/>
    <n v="0.42857142857142855"/>
  </r>
  <r>
    <s v="ORD-10173"/>
    <x v="139"/>
    <s v="S-07"/>
    <x v="1"/>
    <s v="P-202"/>
    <x v="1"/>
    <x v="1"/>
    <x v="1"/>
    <x v="0"/>
    <x v="1"/>
    <n v="22"/>
    <n v="520"/>
    <n v="360"/>
    <n v="0.2"/>
    <n v="9152"/>
    <n v="366.08"/>
    <n v="1232"/>
    <n v="0.13461538461538461"/>
  </r>
  <r>
    <s v="ORD-10174"/>
    <x v="140"/>
    <s v="S-06"/>
    <x v="7"/>
    <s v="P-203"/>
    <x v="1"/>
    <x v="6"/>
    <x v="0"/>
    <x v="0"/>
    <x v="7"/>
    <n v="16"/>
    <n v="180"/>
    <n v="105"/>
    <n v="0.15"/>
    <n v="2448"/>
    <n v="48.96"/>
    <n v="768"/>
    <n v="0.31372549019607843"/>
  </r>
  <r>
    <s v="ORD-10175"/>
    <x v="80"/>
    <s v="S-07"/>
    <x v="1"/>
    <s v="P-501"/>
    <x v="4"/>
    <x v="8"/>
    <x v="0"/>
    <x v="0"/>
    <x v="1"/>
    <n v="2"/>
    <n v="110"/>
    <n v="55"/>
    <n v="0"/>
    <n v="220"/>
    <n v="4.4000000000000004"/>
    <n v="110"/>
    <n v="0.5"/>
  </r>
  <r>
    <s v="ORD-10176"/>
    <x v="141"/>
    <s v="S-06"/>
    <x v="7"/>
    <s v="P-201"/>
    <x v="1"/>
    <x v="2"/>
    <x v="1"/>
    <x v="0"/>
    <x v="7"/>
    <n v="4"/>
    <n v="240"/>
    <n v="150"/>
    <n v="0"/>
    <n v="960"/>
    <n v="19.2"/>
    <n v="360"/>
    <n v="0.375"/>
  </r>
  <r>
    <s v="ORD-10177"/>
    <x v="39"/>
    <s v="S-01"/>
    <x v="8"/>
    <s v="P-401"/>
    <x v="2"/>
    <x v="9"/>
    <x v="0"/>
    <x v="0"/>
    <x v="8"/>
    <n v="15"/>
    <n v="210"/>
    <n v="120"/>
    <n v="0.1"/>
    <n v="2835"/>
    <n v="56.7"/>
    <n v="1035"/>
    <n v="0.36507936507936506"/>
  </r>
  <r>
    <s v="ORD-10178"/>
    <x v="43"/>
    <s v="S-04"/>
    <x v="3"/>
    <s v="P-302"/>
    <x v="3"/>
    <x v="7"/>
    <x v="1"/>
    <x v="2"/>
    <x v="3"/>
    <n v="20"/>
    <n v="1750"/>
    <n v="1300"/>
    <n v="0.15"/>
    <n v="29750"/>
    <n v="1785"/>
    <n v="3750"/>
    <n v="0.12605042016806722"/>
  </r>
  <r>
    <s v="ORD-10179"/>
    <x v="28"/>
    <s v="S-08"/>
    <x v="5"/>
    <s v="P-403"/>
    <x v="2"/>
    <x v="4"/>
    <x v="2"/>
    <x v="1"/>
    <x v="5"/>
    <n v="7"/>
    <n v="130"/>
    <n v="62"/>
    <n v="0.05"/>
    <n v="864.5"/>
    <n v="17.29"/>
    <n v="430.5"/>
    <n v="0.49797570850202422"/>
  </r>
  <r>
    <s v="ORD-10180"/>
    <x v="142"/>
    <s v="S-03"/>
    <x v="2"/>
    <s v="P-502"/>
    <x v="4"/>
    <x v="11"/>
    <x v="1"/>
    <x v="1"/>
    <x v="2"/>
    <n v="15"/>
    <n v="160"/>
    <n v="88"/>
    <n v="0.1"/>
    <n v="2160"/>
    <n v="43.2"/>
    <n v="840"/>
    <n v="0.3888888888888889"/>
  </r>
  <r>
    <s v="ORD-10181"/>
    <x v="143"/>
    <s v="S-01"/>
    <x v="8"/>
    <s v="P-401"/>
    <x v="2"/>
    <x v="9"/>
    <x v="0"/>
    <x v="0"/>
    <x v="8"/>
    <n v="8"/>
    <n v="210"/>
    <n v="120"/>
    <n v="0.05"/>
    <n v="1596"/>
    <n v="31.92"/>
    <n v="636"/>
    <n v="0.39849624060150374"/>
  </r>
  <r>
    <s v="ORD-10182"/>
    <x v="144"/>
    <s v="S-09"/>
    <x v="4"/>
    <s v="P-101"/>
    <x v="0"/>
    <x v="0"/>
    <x v="0"/>
    <x v="2"/>
    <x v="4"/>
    <n v="14"/>
    <n v="25"/>
    <n v="11"/>
    <n v="0.1"/>
    <n v="315"/>
    <n v="6.3"/>
    <n v="161"/>
    <n v="0.51111111111111107"/>
  </r>
  <r>
    <s v="ORD-10183"/>
    <x v="145"/>
    <s v="S-02"/>
    <x v="0"/>
    <s v="P-301"/>
    <x v="3"/>
    <x v="12"/>
    <x v="2"/>
    <x v="0"/>
    <x v="0"/>
    <n v="21"/>
    <n v="1150"/>
    <n v="820"/>
    <n v="0.2"/>
    <n v="19320"/>
    <n v="1159.2"/>
    <n v="2100"/>
    <n v="0.10869565217391304"/>
  </r>
  <r>
    <s v="ORD-10184"/>
    <x v="146"/>
    <s v="S-05"/>
    <x v="6"/>
    <s v="P-302"/>
    <x v="3"/>
    <x v="7"/>
    <x v="0"/>
    <x v="2"/>
    <x v="6"/>
    <n v="9"/>
    <n v="1750"/>
    <n v="1300"/>
    <n v="0.05"/>
    <n v="14962.5"/>
    <n v="598.5"/>
    <n v="3262.5"/>
    <n v="0.21804511278195488"/>
  </r>
  <r>
    <s v="ORD-10185"/>
    <x v="147"/>
    <s v="S-08"/>
    <x v="5"/>
    <s v="P-104"/>
    <x v="0"/>
    <x v="10"/>
    <x v="1"/>
    <x v="1"/>
    <x v="5"/>
    <n v="18"/>
    <n v="35"/>
    <n v="14"/>
    <n v="0.15"/>
    <n v="535.5"/>
    <n v="10.71"/>
    <n v="283.5"/>
    <n v="0.52941176470588236"/>
  </r>
  <r>
    <s v="ORD-10186"/>
    <x v="148"/>
    <s v="S-04"/>
    <x v="3"/>
    <s v="P-502"/>
    <x v="4"/>
    <x v="11"/>
    <x v="0"/>
    <x v="2"/>
    <x v="3"/>
    <n v="17"/>
    <n v="160"/>
    <n v="88"/>
    <n v="0.15"/>
    <n v="2312"/>
    <n v="46.24"/>
    <n v="816"/>
    <n v="0.35294117647058826"/>
  </r>
  <r>
    <s v="ORD-10187"/>
    <x v="60"/>
    <s v="S-05"/>
    <x v="6"/>
    <s v="P-403"/>
    <x v="2"/>
    <x v="4"/>
    <x v="1"/>
    <x v="2"/>
    <x v="6"/>
    <n v="11"/>
    <n v="130"/>
    <n v="62"/>
    <n v="0.1"/>
    <n v="1287"/>
    <n v="25.74"/>
    <n v="605"/>
    <n v="0.47008547008547008"/>
  </r>
  <r>
    <s v="ORD-10188"/>
    <x v="149"/>
    <s v="S-05"/>
    <x v="6"/>
    <s v="P-402"/>
    <x v="2"/>
    <x v="3"/>
    <x v="1"/>
    <x v="2"/>
    <x v="6"/>
    <n v="19"/>
    <n v="95"/>
    <n v="44"/>
    <n v="0.15"/>
    <n v="1534.25"/>
    <n v="30.684999999999999"/>
    <n v="698.25"/>
    <n v="0.45510835913312686"/>
  </r>
  <r>
    <s v="ORD-10189"/>
    <x v="128"/>
    <s v="S-08"/>
    <x v="5"/>
    <s v="P-302"/>
    <x v="3"/>
    <x v="7"/>
    <x v="1"/>
    <x v="1"/>
    <x v="5"/>
    <n v="12"/>
    <n v="1750"/>
    <n v="1300"/>
    <n v="0.1"/>
    <n v="18900"/>
    <n v="1134"/>
    <n v="3300"/>
    <n v="0.17460317460317459"/>
  </r>
  <r>
    <s v="ORD-10190"/>
    <x v="12"/>
    <s v="S-09"/>
    <x v="4"/>
    <s v="P-203"/>
    <x v="1"/>
    <x v="6"/>
    <x v="1"/>
    <x v="2"/>
    <x v="4"/>
    <n v="11"/>
    <n v="180"/>
    <n v="105"/>
    <n v="0.1"/>
    <n v="1782"/>
    <n v="35.64"/>
    <n v="627"/>
    <n v="0.35185185185185186"/>
  </r>
  <r>
    <s v="ORD-10191"/>
    <x v="150"/>
    <s v="S-04"/>
    <x v="3"/>
    <s v="P-303"/>
    <x v="3"/>
    <x v="5"/>
    <x v="1"/>
    <x v="2"/>
    <x v="3"/>
    <n v="8"/>
    <n v="1050"/>
    <n v="760"/>
    <n v="0.05"/>
    <n v="7980"/>
    <n v="319.2"/>
    <n v="1900"/>
    <n v="0.23809523809523808"/>
  </r>
  <r>
    <s v="ORD-10192"/>
    <x v="10"/>
    <s v="S-06"/>
    <x v="7"/>
    <s v="P-402"/>
    <x v="2"/>
    <x v="3"/>
    <x v="1"/>
    <x v="0"/>
    <x v="7"/>
    <n v="23"/>
    <n v="95"/>
    <n v="44"/>
    <n v="0.2"/>
    <n v="1748"/>
    <n v="34.96"/>
    <n v="736"/>
    <n v="0.42105263157894735"/>
  </r>
  <r>
    <s v="ORD-10193"/>
    <x v="151"/>
    <s v="S-03"/>
    <x v="2"/>
    <s v="P-301"/>
    <x v="3"/>
    <x v="12"/>
    <x v="2"/>
    <x v="1"/>
    <x v="2"/>
    <n v="5"/>
    <n v="1150"/>
    <n v="820"/>
    <n v="0"/>
    <n v="5750"/>
    <n v="230"/>
    <n v="1650"/>
    <n v="0.28695652173913044"/>
  </r>
  <r>
    <s v="ORD-10194"/>
    <x v="121"/>
    <s v="S-08"/>
    <x v="5"/>
    <s v="P-102"/>
    <x v="0"/>
    <x v="14"/>
    <x v="0"/>
    <x v="1"/>
    <x v="5"/>
    <n v="15"/>
    <n v="79"/>
    <n v="38"/>
    <n v="0.1"/>
    <n v="1066.5"/>
    <n v="21.33"/>
    <n v="496.5"/>
    <n v="0.46554149085794655"/>
  </r>
  <r>
    <s v="ORD-10195"/>
    <x v="152"/>
    <s v="S-07"/>
    <x v="1"/>
    <s v="P-501"/>
    <x v="4"/>
    <x v="8"/>
    <x v="0"/>
    <x v="0"/>
    <x v="1"/>
    <n v="5"/>
    <n v="110"/>
    <n v="55"/>
    <n v="0"/>
    <n v="550"/>
    <n v="11"/>
    <n v="275"/>
    <n v="0.5"/>
  </r>
  <r>
    <s v="ORD-10196"/>
    <x v="125"/>
    <s v="S-05"/>
    <x v="6"/>
    <s v="P-202"/>
    <x v="1"/>
    <x v="1"/>
    <x v="0"/>
    <x v="2"/>
    <x v="6"/>
    <n v="23"/>
    <n v="520"/>
    <n v="360"/>
    <n v="0.2"/>
    <n v="9568"/>
    <n v="382.72"/>
    <n v="1288"/>
    <n v="0.13461538461538461"/>
  </r>
  <r>
    <s v="ORD-10197"/>
    <x v="9"/>
    <s v="S-02"/>
    <x v="0"/>
    <s v="P-501"/>
    <x v="4"/>
    <x v="8"/>
    <x v="1"/>
    <x v="0"/>
    <x v="0"/>
    <n v="22"/>
    <n v="110"/>
    <n v="55"/>
    <n v="0.2"/>
    <n v="1936"/>
    <n v="38.72"/>
    <n v="726"/>
    <n v="0.375"/>
  </r>
  <r>
    <s v="ORD-10198"/>
    <x v="153"/>
    <s v="S-08"/>
    <x v="5"/>
    <s v="P-501"/>
    <x v="4"/>
    <x v="8"/>
    <x v="0"/>
    <x v="1"/>
    <x v="5"/>
    <n v="2"/>
    <n v="110"/>
    <n v="55"/>
    <n v="0"/>
    <n v="220"/>
    <n v="4.4000000000000004"/>
    <n v="110"/>
    <n v="0.5"/>
  </r>
  <r>
    <s v="ORD-10199"/>
    <x v="154"/>
    <s v="S-05"/>
    <x v="6"/>
    <s v="P-104"/>
    <x v="0"/>
    <x v="10"/>
    <x v="0"/>
    <x v="2"/>
    <x v="6"/>
    <n v="3"/>
    <n v="35"/>
    <n v="14"/>
    <n v="0"/>
    <n v="105"/>
    <n v="2.1"/>
    <n v="63"/>
    <n v="0.6"/>
  </r>
  <r>
    <s v="ORD-10200"/>
    <x v="155"/>
    <s v="S-02"/>
    <x v="0"/>
    <s v="P-301"/>
    <x v="3"/>
    <x v="12"/>
    <x v="2"/>
    <x v="0"/>
    <x v="0"/>
    <n v="23"/>
    <n v="1150"/>
    <n v="820"/>
    <n v="0.2"/>
    <n v="21160"/>
    <n v="1269.5999999999999"/>
    <n v="2300"/>
    <n v="0.108695652173913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9C48F6-D902-48CD-B91F-310A2F882B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7:L24" firstHeaderRow="1" firstDataRow="2" firstDataCol="1"/>
  <pivotFields count="18">
    <pivotField showAll="0"/>
    <pivotField numFmtId="14" showAll="0"/>
    <pivotField showAll="0"/>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axis="axisCol"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5"/>
  </rowFields>
  <rowItems count="6">
    <i>
      <x v="3"/>
    </i>
    <i>
      <x v="2"/>
    </i>
    <i>
      <x v="1"/>
    </i>
    <i>
      <x v="4"/>
    </i>
    <i>
      <x/>
    </i>
    <i t="grand">
      <x/>
    </i>
  </rowItems>
  <colFields count="1">
    <field x="7"/>
  </colFields>
  <colItems count="4">
    <i>
      <x v="2"/>
    </i>
    <i>
      <x/>
    </i>
    <i>
      <x v="1"/>
    </i>
    <i t="grand">
      <x/>
    </i>
  </colItems>
  <dataFields count="1">
    <dataField name="Sum of Revenue" fld="14" baseField="0" baseItem="0" numFmtId="164"/>
  </dataFields>
  <formats count="10">
    <format dxfId="59">
      <pivotArea type="all" dataOnly="0" outline="0" fieldPosition="0"/>
    </format>
    <format dxfId="58">
      <pivotArea outline="0" collapsedLevelsAreSubtotals="1" fieldPosition="0"/>
    </format>
    <format dxfId="57">
      <pivotArea type="origin" dataOnly="0" labelOnly="1" outline="0" fieldPosition="0"/>
    </format>
    <format dxfId="56">
      <pivotArea field="7" type="button" dataOnly="0" labelOnly="1" outline="0" axis="axisCol" fieldPosition="0"/>
    </format>
    <format dxfId="55">
      <pivotArea type="topRight" dataOnly="0" labelOnly="1" outline="0" fieldPosition="0"/>
    </format>
    <format dxfId="54">
      <pivotArea field="5" type="button" dataOnly="0" labelOnly="1" outline="0" axis="axisRow" fieldPosition="0"/>
    </format>
    <format dxfId="53">
      <pivotArea dataOnly="0" labelOnly="1" fieldPosition="0">
        <references count="1">
          <reference field="5" count="0"/>
        </references>
      </pivotArea>
    </format>
    <format dxfId="52">
      <pivotArea dataOnly="0" labelOnly="1" grandRow="1" outline="0" fieldPosition="0"/>
    </format>
    <format dxfId="51">
      <pivotArea dataOnly="0" labelOnly="1" fieldPosition="0">
        <references count="1">
          <reference field="7" count="0"/>
        </references>
      </pivotArea>
    </format>
    <format dxfId="50">
      <pivotArea dataOnly="0" labelOnly="1" grandCol="1" outline="0" fieldPosition="0"/>
    </format>
  </formats>
  <chartFormats count="3">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B3DED3-51D8-418C-8945-1FE1F4F8E51C}"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17:P23" firstHeaderRow="1" firstDataRow="1" firstDataCol="1"/>
  <pivotFields count="18">
    <pivotField showAll="0"/>
    <pivotField numFmtId="14" showAll="0"/>
    <pivotField showAll="0"/>
    <pivotField showAll="0"/>
    <pivotField showAll="0"/>
    <pivotField axis="axisRow" showAll="0">
      <items count="6">
        <item x="0"/>
        <item x="2"/>
        <item x="1"/>
        <item x="3"/>
        <item x="4"/>
        <item t="default"/>
      </items>
    </pivotField>
    <pivotField showAll="0"/>
    <pivotField showAll="0"/>
    <pivotField showAll="0"/>
    <pivotField showAll="0"/>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5"/>
  </rowFields>
  <rowItems count="6">
    <i>
      <x/>
    </i>
    <i>
      <x v="1"/>
    </i>
    <i>
      <x v="2"/>
    </i>
    <i>
      <x v="3"/>
    </i>
    <i>
      <x v="4"/>
    </i>
    <i t="grand">
      <x/>
    </i>
  </rowItems>
  <colItems count="1">
    <i/>
  </colItems>
  <dataFields count="1">
    <dataField name="Sum of Revenue" fld="14" baseField="0" baseItem="0" numFmtId="164"/>
  </dataFields>
  <formats count="6">
    <format dxfId="65">
      <pivotArea type="all" dataOnly="0" outline="0" fieldPosition="0"/>
    </format>
    <format dxfId="64">
      <pivotArea outline="0" collapsedLevelsAreSubtotals="1" fieldPosition="0"/>
    </format>
    <format dxfId="63">
      <pivotArea field="5" type="button" dataOnly="0" labelOnly="1" outline="0" axis="axisRow" fieldPosition="0"/>
    </format>
    <format dxfId="62">
      <pivotArea dataOnly="0" labelOnly="1" fieldPosition="0">
        <references count="1">
          <reference field="5" count="0"/>
        </references>
      </pivotArea>
    </format>
    <format dxfId="61">
      <pivotArea dataOnly="0" labelOnly="1" grandRow="1" outline="0" fieldPosition="0"/>
    </format>
    <format dxfId="6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 chart="0"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803EDD-0C34-45D5-9F6C-0809975FE6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K14" firstHeaderRow="1" firstDataRow="1" firstDataCol="1"/>
  <pivotFields count="18">
    <pivotField showAll="0"/>
    <pivotField numFmtId="14" showAll="0"/>
    <pivotField showAll="0"/>
    <pivotField showAll="0"/>
    <pivotField showAll="0"/>
    <pivotField showAll="0"/>
    <pivotField axis="axisRow" showAll="0" measureFilter="1" sortType="descending">
      <items count="16">
        <item x="2"/>
        <item x="1"/>
        <item x="5"/>
        <item x="4"/>
        <item x="3"/>
        <item x="11"/>
        <item x="7"/>
        <item x="10"/>
        <item x="14"/>
        <item x="9"/>
        <item x="6"/>
        <item x="12"/>
        <item x="13"/>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numFmtId="9" showAll="0"/>
    <pivotField numFmtId="164" showAll="0"/>
    <pivotField numFmtId="164" showAll="0"/>
    <pivotField dataField="1" numFmtId="164" showAll="0"/>
    <pivotField numFmtId="9" showAll="0"/>
  </pivotFields>
  <rowFields count="1">
    <field x="6"/>
  </rowFields>
  <rowItems count="11">
    <i>
      <x v="6"/>
    </i>
    <i>
      <x v="2"/>
    </i>
    <i>
      <x v="11"/>
    </i>
    <i>
      <x v="9"/>
    </i>
    <i>
      <x v="3"/>
    </i>
    <i>
      <x v="1"/>
    </i>
    <i>
      <x v="10"/>
    </i>
    <i>
      <x/>
    </i>
    <i>
      <x v="5"/>
    </i>
    <i>
      <x v="4"/>
    </i>
    <i t="grand">
      <x/>
    </i>
  </rowItems>
  <colItems count="1">
    <i/>
  </colItems>
  <dataFields count="1">
    <dataField name="Sum of Profit" fld="16" baseField="0" baseItem="0" numFmtId="164"/>
  </dataFields>
  <formats count="6">
    <format dxfId="71">
      <pivotArea type="all" dataOnly="0" outline="0" fieldPosition="0"/>
    </format>
    <format dxfId="70">
      <pivotArea outline="0" collapsedLevelsAreSubtotals="1" fieldPosition="0"/>
    </format>
    <format dxfId="69">
      <pivotArea field="6" type="button" dataOnly="0" labelOnly="1" outline="0" axis="axisRow" fieldPosition="0"/>
    </format>
    <format dxfId="68">
      <pivotArea dataOnly="0" labelOnly="1" fieldPosition="0">
        <references count="1">
          <reference field="6" count="10">
            <x v="0"/>
            <x v="1"/>
            <x v="2"/>
            <x v="3"/>
            <x v="4"/>
            <x v="5"/>
            <x v="6"/>
            <x v="9"/>
            <x v="10"/>
            <x v="11"/>
          </reference>
        </references>
      </pivotArea>
    </format>
    <format dxfId="67">
      <pivotArea dataOnly="0" labelOnly="1" grandRow="1" outline="0" fieldPosition="0"/>
    </format>
    <format dxfId="6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B4D65-E479-4906-990B-4BBA4BB06A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E24" firstHeaderRow="1" firstDataRow="2" firstDataCol="1"/>
  <pivotFields count="18">
    <pivotField showAll="0"/>
    <pivotField numFmtId="14" showAll="0"/>
    <pivotField showAll="0"/>
    <pivotField showAll="0"/>
    <pivotField showAll="0"/>
    <pivotField showAll="0"/>
    <pivotField showAll="0"/>
    <pivotField showAll="0"/>
    <pivotField axis="axisCol" showAll="0">
      <items count="4">
        <item x="2"/>
        <item x="1"/>
        <item x="0"/>
        <item t="default"/>
      </items>
    </pivotField>
    <pivotField axis="axisRow" showAll="0" measureFilter="1" sortType="descending">
      <items count="11">
        <item x="4"/>
        <item x="9"/>
        <item x="5"/>
        <item x="1"/>
        <item x="3"/>
        <item x="0"/>
        <item x="2"/>
        <item x="7"/>
        <item x="8"/>
        <item x="6"/>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9"/>
  </rowFields>
  <rowItems count="6">
    <i>
      <x v="9"/>
    </i>
    <i>
      <x v="3"/>
    </i>
    <i>
      <x v="5"/>
    </i>
    <i>
      <x v="4"/>
    </i>
    <i>
      <x v="6"/>
    </i>
    <i t="grand">
      <x/>
    </i>
  </rowItems>
  <colFields count="1">
    <field x="8"/>
  </colFields>
  <colItems count="4">
    <i>
      <x/>
    </i>
    <i>
      <x v="1"/>
    </i>
    <i>
      <x v="2"/>
    </i>
    <i t="grand">
      <x/>
    </i>
  </colItems>
  <dataFields count="1">
    <dataField name="Sum of Revenue" fld="14" baseField="0" baseItem="0" numFmtId="164"/>
  </dataFields>
  <formats count="10">
    <format dxfId="81">
      <pivotArea type="all" dataOnly="0" outline="0" fieldPosition="0"/>
    </format>
    <format dxfId="80">
      <pivotArea outline="0" collapsedLevelsAreSubtotals="1" fieldPosition="0"/>
    </format>
    <format dxfId="79">
      <pivotArea type="origin" dataOnly="0" labelOnly="1" outline="0" fieldPosition="0"/>
    </format>
    <format dxfId="78">
      <pivotArea field="8" type="button" dataOnly="0" labelOnly="1" outline="0" axis="axisCol" fieldPosition="0"/>
    </format>
    <format dxfId="77">
      <pivotArea type="topRight" dataOnly="0" labelOnly="1" outline="0" fieldPosition="0"/>
    </format>
    <format dxfId="76">
      <pivotArea field="9" type="button" dataOnly="0" labelOnly="1" outline="0" axis="axisRow" fieldPosition="0"/>
    </format>
    <format dxfId="75">
      <pivotArea dataOnly="0" labelOnly="1" fieldPosition="0">
        <references count="1">
          <reference field="9" count="5">
            <x v="3"/>
            <x v="4"/>
            <x v="5"/>
            <x v="6"/>
            <x v="9"/>
          </reference>
        </references>
      </pivotArea>
    </format>
    <format dxfId="74">
      <pivotArea dataOnly="0" labelOnly="1" grandRow="1" outline="0" fieldPosition="0"/>
    </format>
    <format dxfId="73">
      <pivotArea dataOnly="0" labelOnly="1" fieldPosition="0">
        <references count="1">
          <reference field="8" count="0"/>
        </references>
      </pivotArea>
    </format>
    <format dxfId="72">
      <pivotArea dataOnly="0" labelOnly="1" grandCol="1" outline="0" fieldPosition="0"/>
    </format>
  </format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9" type="valueGreaterThanOrEqual" evalOrder="-1" id="1" iMeasureFld="0">
      <autoFilter ref="A1">
        <filterColumn colId="0">
          <customFilters>
            <customFilter operator="greaterThanOrEqual" val="10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2A1547-90E4-45B8-9E2B-49DD9BE90EF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B8" firstHeaderRow="1" firstDataRow="1" firstDataCol="1"/>
  <pivotFields count="18">
    <pivotField showAll="0"/>
    <pivotField numFmtId="14" showAll="0"/>
    <pivotField showAll="0"/>
    <pivotField showAll="0"/>
    <pivotField showAll="0"/>
    <pivotField showAll="0"/>
    <pivotField axis="axisRow" showAll="0" measureFilter="1" sortType="descending">
      <items count="16">
        <item x="2"/>
        <item x="1"/>
        <item x="5"/>
        <item x="4"/>
        <item x="3"/>
        <item x="11"/>
        <item x="7"/>
        <item x="10"/>
        <item x="14"/>
        <item x="9"/>
        <item x="6"/>
        <item x="12"/>
        <item x="13"/>
        <item x="8"/>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6"/>
  </rowFields>
  <rowItems count="5">
    <i>
      <x v="6"/>
    </i>
    <i>
      <x v="2"/>
    </i>
    <i>
      <x v="11"/>
    </i>
    <i>
      <x v="1"/>
    </i>
    <i>
      <x/>
    </i>
  </rowItems>
  <colItems count="1">
    <i/>
  </colItems>
  <dataFields count="1">
    <dataField name="Sum of Revenue" fld="14" baseField="0" baseItem="0" numFmtId="164"/>
  </dataFields>
  <formats count="5">
    <format dxfId="86">
      <pivotArea type="all" dataOnly="0" outline="0" fieldPosition="0"/>
    </format>
    <format dxfId="85">
      <pivotArea outline="0" collapsedLevelsAreSubtotals="1" fieldPosition="0"/>
    </format>
    <format dxfId="84">
      <pivotArea field="6" type="button" dataOnly="0" labelOnly="1" outline="0" axis="axisRow" fieldPosition="0"/>
    </format>
    <format dxfId="83">
      <pivotArea dataOnly="0" labelOnly="1" fieldPosition="0">
        <references count="1">
          <reference field="6" count="5">
            <x v="0"/>
            <x v="1"/>
            <x v="2"/>
            <x v="6"/>
            <x v="11"/>
          </reference>
        </references>
      </pivotArea>
    </format>
    <format dxfId="8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D226C1-CF9B-488D-805D-8F0046EA3194}"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14" firstHeaderRow="1" firstDataRow="1" firstDataCol="1"/>
  <pivotFields count="18">
    <pivotField showAll="0"/>
    <pivotField numFmtId="14" showAll="0"/>
    <pivotField showAll="0"/>
    <pivotField axis="axisRow" showAll="0" sortType="descending">
      <items count="11">
        <item x="8"/>
        <item x="0"/>
        <item x="2"/>
        <item x="3"/>
        <item x="6"/>
        <item x="7"/>
        <item x="1"/>
        <item x="5"/>
        <item x="4"/>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16">
        <item x="2"/>
        <item x="1"/>
        <item x="5"/>
        <item x="4"/>
        <item x="3"/>
        <item x="11"/>
        <item x="7"/>
        <item x="10"/>
        <item x="14"/>
        <item x="9"/>
        <item x="6"/>
        <item x="12"/>
        <item x="13"/>
        <item x="8"/>
        <item x="0"/>
        <item t="default"/>
      </items>
    </pivotField>
    <pivotField showAll="0"/>
    <pivotField showAll="0"/>
    <pivotField showAll="0"/>
    <pivotField showAll="0"/>
    <pivotField numFmtId="164" showAll="0"/>
    <pivotField numFmtId="164" showAll="0"/>
    <pivotField numFmtId="9" showAll="0"/>
    <pivotField numFmtId="164" showAll="0"/>
    <pivotField numFmtId="164" showAll="0"/>
    <pivotField numFmtId="164" showAll="0"/>
    <pivotField numFmtId="9" showAll="0"/>
  </pivotFields>
  <rowFields count="1">
    <field x="3"/>
  </rowFields>
  <rowItems count="11">
    <i>
      <x v="3"/>
    </i>
    <i>
      <x v="6"/>
    </i>
    <i>
      <x v="2"/>
    </i>
    <i>
      <x v="4"/>
    </i>
    <i>
      <x v="7"/>
    </i>
    <i>
      <x v="8"/>
    </i>
    <i>
      <x v="1"/>
    </i>
    <i>
      <x v="5"/>
    </i>
    <i>
      <x v="9"/>
    </i>
    <i>
      <x/>
    </i>
    <i t="grand">
      <x/>
    </i>
  </rowItems>
  <colItems count="1">
    <i/>
  </colItems>
  <dataFields count="1">
    <dataField name="Product Sold" fld="6" subtotal="count" baseField="3" baseItem="0"/>
  </dataFields>
  <formats count="6">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grandRow="1" outline="0" fieldPosition="0"/>
    </format>
    <format dxfId="3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46FD70-0E41-4F24-BEF4-558FBEC1A947}"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19:C30" firstHeaderRow="1" firstDataRow="1" firstDataCol="1"/>
  <pivotFields count="18">
    <pivotField showAll="0"/>
    <pivotField numFmtId="14" showAll="0"/>
    <pivotField showAll="0"/>
    <pivotField axis="axisRow" showAll="0" sortType="descending">
      <items count="11">
        <item x="8"/>
        <item x="0"/>
        <item x="2"/>
        <item x="3"/>
        <item x="6"/>
        <item x="7"/>
        <item x="1"/>
        <item x="5"/>
        <item x="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numFmtId="9" showAll="0"/>
    <pivotField numFmtId="164" showAll="0"/>
    <pivotField numFmtId="164" showAll="0"/>
    <pivotField dataField="1" numFmtId="164" showAll="0"/>
    <pivotField numFmtId="9" showAll="0"/>
  </pivotFields>
  <rowFields count="1">
    <field x="3"/>
  </rowFields>
  <rowItems count="11">
    <i>
      <x v="4"/>
    </i>
    <i>
      <x v="6"/>
    </i>
    <i>
      <x v="3"/>
    </i>
    <i>
      <x v="2"/>
    </i>
    <i>
      <x v="1"/>
    </i>
    <i>
      <x v="7"/>
    </i>
    <i>
      <x v="8"/>
    </i>
    <i>
      <x v="9"/>
    </i>
    <i>
      <x v="5"/>
    </i>
    <i>
      <x/>
    </i>
    <i t="grand">
      <x/>
    </i>
  </rowItems>
  <colItems count="1">
    <i/>
  </colItems>
  <dataFields count="1">
    <dataField name="Sum of Profit" fld="16" baseField="0" baseItem="0" numFmtId="164"/>
  </dataFields>
  <formats count="6">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 dxfId="3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34EC5D2-0177-4D06-9223-5765EE0B389C}"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14" firstHeaderRow="1" firstDataRow="1" firstDataCol="1"/>
  <pivotFields count="18">
    <pivotField showAll="0"/>
    <pivotField numFmtId="14" showAll="0"/>
    <pivotField showAll="0"/>
    <pivotField axis="axisRow" showAll="0" sortType="ascending">
      <items count="11">
        <item x="8"/>
        <item x="0"/>
        <item x="2"/>
        <item x="3"/>
        <item x="6"/>
        <item x="7"/>
        <item x="1"/>
        <item x="5"/>
        <item x="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3"/>
  </rowFields>
  <rowItems count="11">
    <i>
      <x v="5"/>
    </i>
    <i>
      <x/>
    </i>
    <i>
      <x v="9"/>
    </i>
    <i>
      <x v="8"/>
    </i>
    <i>
      <x v="7"/>
    </i>
    <i>
      <x v="2"/>
    </i>
    <i>
      <x v="3"/>
    </i>
    <i>
      <x v="1"/>
    </i>
    <i>
      <x v="6"/>
    </i>
    <i>
      <x v="4"/>
    </i>
    <i t="grand">
      <x/>
    </i>
  </rowItems>
  <colItems count="1">
    <i/>
  </colItems>
  <dataFields count="1">
    <dataField name="Sum of Revenue" fld="14" baseField="0" baseItem="0" numFmtId="164"/>
  </dataFields>
  <formats count="6">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grandRow="1" outline="0" fieldPosition="0"/>
    </format>
    <format dxfId="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178D16-FE0E-4C68-BB3F-299D299EE3C7}" name="PivotTable2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A3:C14" firstHeaderRow="0" firstDataRow="1" firstDataCol="1"/>
  <pivotFields count="18">
    <pivotField showAll="0"/>
    <pivotField numFmtId="14" showAll="0">
      <items count="157">
        <item x="149"/>
        <item x="5"/>
        <item x="58"/>
        <item x="117"/>
        <item x="106"/>
        <item x="76"/>
        <item x="134"/>
        <item x="72"/>
        <item x="10"/>
        <item x="123"/>
        <item x="90"/>
        <item x="43"/>
        <item x="52"/>
        <item x="49"/>
        <item x="36"/>
        <item x="60"/>
        <item x="135"/>
        <item x="127"/>
        <item x="46"/>
        <item x="95"/>
        <item x="32"/>
        <item x="141"/>
        <item x="64"/>
        <item x="42"/>
        <item x="155"/>
        <item x="121"/>
        <item x="44"/>
        <item x="22"/>
        <item x="26"/>
        <item x="143"/>
        <item x="33"/>
        <item x="104"/>
        <item x="45"/>
        <item x="152"/>
        <item x="86"/>
        <item x="128"/>
        <item x="29"/>
        <item x="7"/>
        <item x="140"/>
        <item x="109"/>
        <item x="48"/>
        <item x="70"/>
        <item x="120"/>
        <item x="56"/>
        <item x="98"/>
        <item x="131"/>
        <item x="18"/>
        <item x="21"/>
        <item x="4"/>
        <item x="145"/>
        <item x="38"/>
        <item x="8"/>
        <item x="154"/>
        <item x="69"/>
        <item x="132"/>
        <item x="41"/>
        <item x="126"/>
        <item x="78"/>
        <item x="27"/>
        <item x="19"/>
        <item x="71"/>
        <item x="119"/>
        <item x="63"/>
        <item x="14"/>
        <item x="13"/>
        <item x="122"/>
        <item x="73"/>
        <item x="31"/>
        <item x="144"/>
        <item x="51"/>
        <item x="17"/>
        <item x="153"/>
        <item x="105"/>
        <item x="65"/>
        <item x="116"/>
        <item x="110"/>
        <item x="139"/>
        <item x="75"/>
        <item x="15"/>
        <item x="68"/>
        <item x="79"/>
        <item x="108"/>
        <item x="1"/>
        <item x="148"/>
        <item x="151"/>
        <item x="100"/>
        <item x="74"/>
        <item x="97"/>
        <item x="133"/>
        <item x="118"/>
        <item x="67"/>
        <item x="112"/>
        <item x="113"/>
        <item x="77"/>
        <item x="35"/>
        <item x="84"/>
        <item x="115"/>
        <item x="50"/>
        <item x="87"/>
        <item x="3"/>
        <item x="91"/>
        <item x="102"/>
        <item x="125"/>
        <item x="93"/>
        <item x="147"/>
        <item x="101"/>
        <item x="146"/>
        <item x="111"/>
        <item x="39"/>
        <item x="94"/>
        <item x="130"/>
        <item x="24"/>
        <item x="59"/>
        <item x="40"/>
        <item x="61"/>
        <item x="83"/>
        <item x="142"/>
        <item x="12"/>
        <item x="81"/>
        <item x="129"/>
        <item x="99"/>
        <item x="6"/>
        <item x="54"/>
        <item x="20"/>
        <item x="37"/>
        <item x="2"/>
        <item x="103"/>
        <item x="136"/>
        <item x="23"/>
        <item x="30"/>
        <item x="137"/>
        <item x="11"/>
        <item x="92"/>
        <item x="114"/>
        <item x="28"/>
        <item x="124"/>
        <item x="0"/>
        <item x="9"/>
        <item x="47"/>
        <item x="89"/>
        <item x="55"/>
        <item x="85"/>
        <item x="80"/>
        <item x="62"/>
        <item x="107"/>
        <item x="57"/>
        <item x="138"/>
        <item x="53"/>
        <item x="82"/>
        <item x="25"/>
        <item x="16"/>
        <item x="66"/>
        <item x="96"/>
        <item x="88"/>
        <item x="150"/>
        <item x="34"/>
        <item t="default"/>
      </items>
    </pivotField>
    <pivotField showAll="0"/>
    <pivotField showAll="0">
      <items count="11">
        <item x="8"/>
        <item x="0"/>
        <item x="2"/>
        <item x="3"/>
        <item x="6"/>
        <item x="7"/>
        <item x="1"/>
        <item x="5"/>
        <item x="4"/>
        <item x="9"/>
        <item t="default"/>
      </items>
    </pivotField>
    <pivotField showAll="0"/>
    <pivotField showAll="0"/>
    <pivotField axis="axisRow" dataField="1" showAll="0" measureFilter="1" sortType="descending">
      <items count="16">
        <item x="0"/>
        <item x="8"/>
        <item x="13"/>
        <item x="12"/>
        <item x="6"/>
        <item x="9"/>
        <item x="14"/>
        <item x="10"/>
        <item x="7"/>
        <item x="11"/>
        <item x="3"/>
        <item x="4"/>
        <item x="5"/>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6"/>
  </rowFields>
  <rowItems count="11">
    <i>
      <x v="8"/>
    </i>
    <i>
      <x v="12"/>
    </i>
    <i>
      <x v="3"/>
    </i>
    <i>
      <x v="13"/>
    </i>
    <i>
      <x v="14"/>
    </i>
    <i>
      <x v="4"/>
    </i>
    <i>
      <x v="5"/>
    </i>
    <i>
      <x v="11"/>
    </i>
    <i>
      <x v="9"/>
    </i>
    <i>
      <x v="10"/>
    </i>
    <i t="grand">
      <x/>
    </i>
  </rowItems>
  <colFields count="1">
    <field x="-2"/>
  </colFields>
  <colItems count="2">
    <i>
      <x/>
    </i>
    <i i="1">
      <x v="1"/>
    </i>
  </colItems>
  <dataFields count="2">
    <dataField name="Sum of Revenue" fld="14" baseField="0" baseItem="0" numFmtId="164"/>
    <dataField name="Product Sold" fld="6" subtotal="count" baseField="6" baseItem="0"/>
  </dataFields>
  <formats count="6">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10">
            <x v="3"/>
            <x v="4"/>
            <x v="5"/>
            <x v="8"/>
            <x v="9"/>
            <x v="10"/>
            <x v="11"/>
            <x v="12"/>
            <x v="13"/>
            <x v="14"/>
          </reference>
        </references>
      </pivotArea>
    </format>
    <format dxfId="4">
      <pivotArea dataOnly="0" labelOnly="1" grandRow="1" outline="0" fieldPosition="0"/>
    </format>
    <format dxfId="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976856-D9C8-4F7F-B2B6-4535C6CD185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7" firstHeaderRow="1" firstDataRow="1" firstDataCol="1"/>
  <pivotFields count="18">
    <pivotField showAll="0"/>
    <pivotField numFmtId="14" showAll="0"/>
    <pivotField showAll="0"/>
    <pivotField showAll="0"/>
    <pivotField showAll="0"/>
    <pivotField axis="axisRow" showAll="0" measureFilter="1"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items count="11">
        <item x="4"/>
        <item x="9"/>
        <item x="5"/>
        <item x="1"/>
        <item x="3"/>
        <item x="0"/>
        <item x="2"/>
        <item x="7"/>
        <item x="8"/>
        <item x="6"/>
        <item t="default"/>
      </items>
    </pivotField>
    <pivotField showAll="0"/>
    <pivotField numFmtId="164" showAll="0"/>
    <pivotField numFmtId="164" showAll="0"/>
    <pivotField numFmtId="9" showAll="0"/>
    <pivotField dataField="1" numFmtId="164" showAll="0"/>
    <pivotField numFmtId="164" showAll="0"/>
    <pivotField numFmtId="164" showAll="0"/>
    <pivotField numFmtId="9" showAll="0"/>
  </pivotFields>
  <rowFields count="1">
    <field x="5"/>
  </rowFields>
  <rowItems count="4">
    <i>
      <x v="3"/>
    </i>
    <i>
      <x v="2"/>
    </i>
    <i>
      <x v="1"/>
    </i>
    <i t="grand">
      <x/>
    </i>
  </rowItems>
  <colItems count="1">
    <i/>
  </colItems>
  <dataFields count="1">
    <dataField name="Sum of Revenue" fld="14" baseField="0" baseItem="0" numFmtId="164"/>
  </dataFields>
  <formats count="6">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3">
            <x v="1"/>
            <x v="2"/>
            <x v="3"/>
          </reference>
        </references>
      </pivotArea>
    </format>
    <format dxfId="27">
      <pivotArea dataOnly="0" labelOnly="1" grandRow="1" outline="0" fieldPosition="0"/>
    </format>
    <format dxfId="2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6CB4E8FC-6F2A-450B-96ED-DEEB3452A985}" autoFormatId="16" applyNumberFormats="0" applyBorderFormats="0" applyFontFormats="0" applyPatternFormats="0" applyAlignmentFormats="0" applyWidthHeightFormats="0">
  <queryTableRefresh nextId="19">
    <queryTableFields count="18">
      <queryTableField id="1" name="OrderID" tableColumnId="1"/>
      <queryTableField id="2" name="OrderDate" tableColumnId="2"/>
      <queryTableField id="3" name="SalespersonID" tableColumnId="3"/>
      <queryTableField id="4" name="01_salespeople.Salesperson" tableColumnId="4"/>
      <queryTableField id="5" name="ProductID" tableColumnId="5"/>
      <queryTableField id="6" name="01_products.Category" tableColumnId="6"/>
      <queryTableField id="7" name="01_products.Product" tableColumnId="7"/>
      <queryTableField id="8" name="Channel" tableColumnId="8"/>
      <queryTableField id="9" name="Region" tableColumnId="9"/>
      <queryTableField id="10" name="Country" tableColumnId="10"/>
      <queryTableField id="11" name="Quantity" tableColumnId="11"/>
      <queryTableField id="12" name="UnitPrice" tableColumnId="12"/>
      <queryTableField id="13" name="UnitCost" tableColumnId="13"/>
      <queryTableField id="14" name="Discount" tableColumnId="14"/>
      <queryTableField id="15" name="Revenue" tableColumnId="15"/>
      <queryTableField id="16" name="Commission" tableColumnId="16"/>
      <queryTableField id="17" name="Profit" tableColumnId="17"/>
      <queryTableField id="18" name="ProfitMargin"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FFB74D42-7BD3-4844-AA94-805B7EC01BD6}" autoFormatId="16" applyNumberFormats="0" applyBorderFormats="0" applyFontFormats="0" applyPatternFormats="0" applyAlignmentFormats="0" applyWidthHeightFormats="0">
  <queryTableRefresh nextId="5">
    <queryTableFields count="4">
      <queryTableField id="1" name="SalespersonID" tableColumnId="1"/>
      <queryTableField id="2" name="Salesperson" tableColumnId="2"/>
      <queryTableField id="3" name="Region" tableColumnId="3"/>
      <queryTableField id="4" name="Count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CA4C2667-1266-45EA-A046-1D8E76E393E8}" autoFormatId="16" applyNumberFormats="0" applyBorderFormats="0" applyFontFormats="0" applyPatternFormats="0" applyAlignmentFormats="0" applyWidthHeightFormats="0">
  <queryTableRefresh nextId="16">
    <queryTableFields count="15">
      <queryTableField id="1" name="OrderID" tableColumnId="1"/>
      <queryTableField id="2" name="OrderDate" tableColumnId="2"/>
      <queryTableField id="3" name="SalespersonID" tableColumnId="3"/>
      <queryTableField id="4" name="ProductID" tableColumnId="4"/>
      <queryTableField id="5" name="Channel" tableColumnId="5"/>
      <queryTableField id="6" name="Region" tableColumnId="6"/>
      <queryTableField id="7" name="Country" tableColumnId="7"/>
      <queryTableField id="8" name="Quantity" tableColumnId="8"/>
      <queryTableField id="9" name="UnitPrice" tableColumnId="9"/>
      <queryTableField id="10" name="UnitCost" tableColumnId="10"/>
      <queryTableField id="11" name="Discount" tableColumnId="11"/>
      <queryTableField id="12" name="Revenue" tableColumnId="12"/>
      <queryTableField id="13" name="Commission" tableColumnId="13"/>
      <queryTableField id="14" name="Profit" tableColumnId="14"/>
      <queryTableField id="15" name="ProfitMargin"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DFCD8C1B-D6DE-4B30-B7A2-7E2EE600C1D2}" autoFormatId="16" applyNumberFormats="0" applyBorderFormats="0" applyFontFormats="0" applyPatternFormats="0" applyAlignmentFormats="0" applyWidthHeightFormats="0">
  <queryTableRefresh nextId="6">
    <queryTableFields count="5">
      <queryTableField id="1" name="ProductID" tableColumnId="1"/>
      <queryTableField id="2" name="Product" tableColumnId="2"/>
      <queryTableField id="3" name="Category" tableColumnId="3"/>
      <queryTableField id="4" name="UnitPrice" tableColumnId="4"/>
      <queryTableField id="5" name="UnitCost"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F1F70BF1-72E4-476F-A294-7F301E662320}" sourceName="OrderDate">
  <pivotTables>
    <pivotTable tabId="10" name="PivotTable27"/>
  </pivotTables>
  <data>
    <tabular pivotCacheId="1027317354">
      <items count="156">
        <i x="149" s="1"/>
        <i x="5" s="1"/>
        <i x="58" s="1"/>
        <i x="117" s="1"/>
        <i x="106" s="1"/>
        <i x="76" s="1"/>
        <i x="134" s="1"/>
        <i x="72" s="1"/>
        <i x="10" s="1"/>
        <i x="123" s="1"/>
        <i x="90" s="1"/>
        <i x="43" s="1"/>
        <i x="52" s="1"/>
        <i x="49" s="1"/>
        <i x="36" s="1"/>
        <i x="60" s="1"/>
        <i x="135" s="1"/>
        <i x="127" s="1"/>
        <i x="46" s="1"/>
        <i x="95" s="1"/>
        <i x="32" s="1"/>
        <i x="141" s="1"/>
        <i x="64" s="1"/>
        <i x="42" s="1"/>
        <i x="155" s="1"/>
        <i x="121" s="1"/>
        <i x="44" s="1"/>
        <i x="22" s="1"/>
        <i x="26" s="1"/>
        <i x="143" s="1"/>
        <i x="33" s="1"/>
        <i x="104" s="1"/>
        <i x="45" s="1"/>
        <i x="152" s="1"/>
        <i x="86" s="1"/>
        <i x="128" s="1"/>
        <i x="29" s="1"/>
        <i x="7" s="1"/>
        <i x="140" s="1"/>
        <i x="109" s="1"/>
        <i x="48" s="1"/>
        <i x="70" s="1"/>
        <i x="120" s="1"/>
        <i x="56" s="1"/>
        <i x="98" s="1"/>
        <i x="131" s="1"/>
        <i x="18" s="1"/>
        <i x="21" s="1"/>
        <i x="4" s="1"/>
        <i x="145" s="1"/>
        <i x="38" s="1"/>
        <i x="8" s="1"/>
        <i x="154" s="1"/>
        <i x="69" s="1"/>
        <i x="132" s="1"/>
        <i x="41" s="1"/>
        <i x="126" s="1"/>
        <i x="78" s="1"/>
        <i x="27" s="1"/>
        <i x="19" s="1"/>
        <i x="71" s="1"/>
        <i x="119" s="1"/>
        <i x="63" s="1"/>
        <i x="14" s="1"/>
        <i x="13" s="1"/>
        <i x="122" s="1"/>
        <i x="73" s="1"/>
        <i x="31" s="1"/>
        <i x="144" s="1"/>
        <i x="51" s="1"/>
        <i x="17" s="1"/>
        <i x="153" s="1"/>
        <i x="105" s="1"/>
        <i x="65" s="1"/>
        <i x="116" s="1"/>
        <i x="110" s="1"/>
        <i x="139" s="1"/>
        <i x="75" s="1"/>
        <i x="15" s="1"/>
        <i x="68" s="1"/>
        <i x="79" s="1"/>
        <i x="108" s="1"/>
        <i x="1" s="1"/>
        <i x="148" s="1"/>
        <i x="151" s="1"/>
        <i x="100" s="1"/>
        <i x="74" s="1"/>
        <i x="97" s="1"/>
        <i x="133" s="1"/>
        <i x="118" s="1"/>
        <i x="67" s="1"/>
        <i x="112" s="1"/>
        <i x="113" s="1"/>
        <i x="77" s="1"/>
        <i x="35" s="1"/>
        <i x="84" s="1"/>
        <i x="115" s="1"/>
        <i x="50" s="1"/>
        <i x="87" s="1"/>
        <i x="3" s="1"/>
        <i x="91" s="1"/>
        <i x="102" s="1"/>
        <i x="125" s="1"/>
        <i x="93" s="1"/>
        <i x="147" s="1"/>
        <i x="101" s="1"/>
        <i x="146" s="1"/>
        <i x="111" s="1"/>
        <i x="39" s="1"/>
        <i x="94" s="1"/>
        <i x="130" s="1"/>
        <i x="24" s="1"/>
        <i x="59" s="1"/>
        <i x="40" s="1"/>
        <i x="61" s="1"/>
        <i x="83" s="1"/>
        <i x="142" s="1"/>
        <i x="12" s="1"/>
        <i x="81" s="1"/>
        <i x="129" s="1"/>
        <i x="99" s="1"/>
        <i x="6" s="1"/>
        <i x="54" s="1"/>
        <i x="20" s="1"/>
        <i x="37" s="1"/>
        <i x="2" s="1"/>
        <i x="103" s="1"/>
        <i x="136" s="1"/>
        <i x="23" s="1"/>
        <i x="30" s="1"/>
        <i x="137" s="1"/>
        <i x="11" s="1"/>
        <i x="92" s="1"/>
        <i x="114" s="1"/>
        <i x="28" s="1"/>
        <i x="124" s="1"/>
        <i x="0" s="1"/>
        <i x="9" s="1"/>
        <i x="47" s="1"/>
        <i x="89" s="1"/>
        <i x="55" s="1"/>
        <i x="85" s="1"/>
        <i x="80" s="1"/>
        <i x="62" s="1"/>
        <i x="107" s="1"/>
        <i x="57" s="1"/>
        <i x="138" s="1"/>
        <i x="53" s="1"/>
        <i x="82" s="1"/>
        <i x="25" s="1"/>
        <i x="16" s="1"/>
        <i x="66" s="1"/>
        <i x="96" s="1"/>
        <i x="88" s="1"/>
        <i x="150" s="1"/>
        <i x="3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086E28-99F2-43D6-99CE-E584638C84E7}" sourceName="Region">
  <pivotTables>
    <pivotTable tabId="10" name="PivotTable28"/>
  </pivotTables>
  <data>
    <tabular pivotCacheId="1027317354">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0E75F71B-52CE-4BC2-AC3B-05A6A257A563}" cache="Slicer_OrderDate" caption="OrderDate" startItem="148" rowHeight="249238"/>
  <slicer name="Region" xr10:uid="{0043981A-F383-40BF-98FB-9EE38EC8BF51}" cache="Slicer_Region" caption="Region"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2219FC3-6DBE-4D61-85C4-02F8D6AE33E4}" name="sales_products_salespeople" displayName="sales_products_salespeople" ref="A1:R201" tableType="queryTable" totalsRowShown="0">
  <autoFilter ref="A1:R201" xr:uid="{52219FC3-6DBE-4D61-85C4-02F8D6AE33E4}"/>
  <tableColumns count="18">
    <tableColumn id="1" xr3:uid="{B9C476BA-4592-4023-A76E-0DB4F3C44964}" uniqueName="1" name="OrderID" queryTableFieldId="1" dataDxfId="101"/>
    <tableColumn id="2" xr3:uid="{E03E8239-C508-4638-A5F5-FBC51D5FE55E}" uniqueName="2" name="OrderDate" queryTableFieldId="2" dataDxfId="100"/>
    <tableColumn id="3" xr3:uid="{DDE247E4-9C43-4C8D-BF20-E9FA2952255C}" uniqueName="3" name="SalespersonID" queryTableFieldId="3" dataDxfId="99"/>
    <tableColumn id="4" xr3:uid="{154BEB19-32D1-4D3E-831E-6CD540E99F7E}" uniqueName="4" name="01_salespeople.Salesperson" queryTableFieldId="4" dataDxfId="98"/>
    <tableColumn id="5" xr3:uid="{D6F3AC48-8B39-4EA3-BCBB-DFFFBA272FAC}" uniqueName="5" name="ProductID" queryTableFieldId="5" dataDxfId="97"/>
    <tableColumn id="6" xr3:uid="{75E41577-9776-4A31-A013-933978E8FDC1}" uniqueName="6" name="01_products.Category" queryTableFieldId="6" dataDxfId="96"/>
    <tableColumn id="7" xr3:uid="{8FFA4045-F35F-43ED-B85F-0152F17AEAFC}" uniqueName="7" name="01_products.Product" queryTableFieldId="7" dataDxfId="95"/>
    <tableColumn id="8" xr3:uid="{493BE4C5-08C8-4D9F-BA5A-4D6922A5DCEA}" uniqueName="8" name="Channel" queryTableFieldId="8" dataDxfId="94"/>
    <tableColumn id="9" xr3:uid="{7D179755-9971-4EFD-AC19-78E9B4F765F7}" uniqueName="9" name="Region" queryTableFieldId="9" dataDxfId="93"/>
    <tableColumn id="10" xr3:uid="{AB79357F-DFB0-477E-9B54-2A85A2A34A00}" uniqueName="10" name="Country" queryTableFieldId="10" dataDxfId="92"/>
    <tableColumn id="11" xr3:uid="{540FE8D4-52D7-49B3-A705-58CC0F38BA47}" uniqueName="11" name="Quantity" queryTableFieldId="11"/>
    <tableColumn id="12" xr3:uid="{280E9140-5670-47A9-BD05-253BA8E4CA37}" uniqueName="12" name="UnitPrice" queryTableFieldId="12" dataDxfId="91"/>
    <tableColumn id="13" xr3:uid="{5F7481AD-3075-4C3E-B1BC-519D1444CEA4}" uniqueName="13" name="UnitCost" queryTableFieldId="13" dataDxfId="90"/>
    <tableColumn id="14" xr3:uid="{42D34DBD-2CE4-4A49-B92A-B92F94AFD915}" uniqueName="14" name="Discount" queryTableFieldId="14" dataCellStyle="Percent"/>
    <tableColumn id="15" xr3:uid="{A2AF6EED-76D7-41DB-8543-CEC0788B7F63}" uniqueName="15" name="Revenue" queryTableFieldId="15" dataDxfId="89"/>
    <tableColumn id="16" xr3:uid="{95160B1B-9792-4167-8EC9-AFD2AA36B7E3}" uniqueName="16" name="Commission" queryTableFieldId="16" dataDxfId="88"/>
    <tableColumn id="17" xr3:uid="{650E71A7-EC0E-4B7B-AB3C-D8B2A9EA4413}" uniqueName="17" name="Profit" queryTableFieldId="17" dataDxfId="87"/>
    <tableColumn id="18" xr3:uid="{72C96ED0-0DA2-4E2D-878B-B2B866F27A2D}" uniqueName="18" name="ProfitMargin" queryTableFieldId="18" dataCellStyle="Percent"/>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F32D33-C6E2-4F7D-85C3-676BD5C9C8F0}" name="_01_salespeople" displayName="_01_salespeople" ref="A1:D11" tableType="queryTable" totalsRowShown="0">
  <autoFilter ref="A1:D11" xr:uid="{92F32D33-C6E2-4F7D-85C3-676BD5C9C8F0}"/>
  <tableColumns count="4">
    <tableColumn id="1" xr3:uid="{BB22DC2A-FBF0-4FA8-8A47-597725652078}" uniqueName="1" name="SalespersonID" queryTableFieldId="1" dataDxfId="19"/>
    <tableColumn id="2" xr3:uid="{C5D4A503-2981-48A0-B98E-FF528DA93448}" uniqueName="2" name="Salesperson" queryTableFieldId="2" dataDxfId="18"/>
    <tableColumn id="3" xr3:uid="{080A75E7-1708-4633-8B99-5F3551E73FCB}" uniqueName="3" name="Region" queryTableFieldId="3" dataDxfId="17"/>
    <tableColumn id="4" xr3:uid="{A4A2689B-D31D-4DD3-BB52-F7910005404D}" uniqueName="4" name="Country" queryTableFieldId="4"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C48968-FF4E-43EC-BDEC-769EC347408F}" name="_01_sales" displayName="_01_sales" ref="A1:O201" tableType="queryTable" totalsRowShown="0">
  <autoFilter ref="A1:O201" xr:uid="{04C48968-FF4E-43EC-BDEC-769EC347408F}"/>
  <tableColumns count="15">
    <tableColumn id="1" xr3:uid="{2C685869-79B2-4F21-BBAA-62F6026DFA73}" uniqueName="1" name="OrderID" queryTableFieldId="1" dataDxfId="15"/>
    <tableColumn id="2" xr3:uid="{66465C67-893A-4648-85FD-E57DB6407A2D}" uniqueName="2" name="OrderDate" queryTableFieldId="2" dataDxfId="14"/>
    <tableColumn id="3" xr3:uid="{92FD5A4A-7AA1-46E3-A9C7-06E78308EB55}" uniqueName="3" name="SalespersonID" queryTableFieldId="3" dataDxfId="13"/>
    <tableColumn id="4" xr3:uid="{89CE5CC2-F57F-4148-9B7D-67147C9A8975}" uniqueName="4" name="ProductID" queryTableFieldId="4" dataDxfId="12"/>
    <tableColumn id="5" xr3:uid="{91AB03A5-2DE8-44A6-AC3C-66C222FCA8F7}" uniqueName="5" name="Channel" queryTableFieldId="5" dataDxfId="11"/>
    <tableColumn id="6" xr3:uid="{156A9065-75C0-4C4D-B7C0-CD970CE8043A}" uniqueName="6" name="Region" queryTableFieldId="6" dataDxfId="10"/>
    <tableColumn id="7" xr3:uid="{0E6756A8-0AAF-4714-9EE0-C363D38EB5A3}" uniqueName="7" name="Country" queryTableFieldId="7" dataDxfId="9"/>
    <tableColumn id="8" xr3:uid="{B5584D7B-21DC-4EE4-B719-47C87277715F}" uniqueName="8" name="Quantity" queryTableFieldId="8"/>
    <tableColumn id="9" xr3:uid="{C95B5526-CF83-48CC-A2E9-888F48902084}" uniqueName="9" name="UnitPrice" queryTableFieldId="9"/>
    <tableColumn id="10" xr3:uid="{FF12ECA5-0AAA-45F2-80A1-D0AE80B7AC73}" uniqueName="10" name="UnitCost" queryTableFieldId="10"/>
    <tableColumn id="11" xr3:uid="{22055604-D3E3-4C7A-8C23-82C269CB77E3}" uniqueName="11" name="Discount" queryTableFieldId="11"/>
    <tableColumn id="12" xr3:uid="{5937EF67-7269-45D7-9C3A-EF8634042155}" uniqueName="12" name="Revenue" queryTableFieldId="12"/>
    <tableColumn id="13" xr3:uid="{33D9CEBE-E422-4C13-9BA6-9EB4F6A9298B}" uniqueName="13" name="Commission" queryTableFieldId="13"/>
    <tableColumn id="14" xr3:uid="{9C6613C6-1A57-4F9D-A3E8-41C16D59B6C8}" uniqueName="14" name="Profit" queryTableFieldId="14"/>
    <tableColumn id="15" xr3:uid="{21E265B5-9EE9-4566-A078-0FBCAA495A2F}" uniqueName="15" name="ProfitMargin"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7F9AD-477A-40AA-8F2C-371FF5E26D42}" name="_01_products" displayName="_01_products" ref="A1:E16" tableType="queryTable" totalsRowShown="0">
  <autoFilter ref="A1:E16" xr:uid="{F2C7F9AD-477A-40AA-8F2C-371FF5E26D42}"/>
  <tableColumns count="5">
    <tableColumn id="1" xr3:uid="{40E4E3B4-EFDE-464C-A760-4E99F6C18028}" uniqueName="1" name="ProductID" queryTableFieldId="1" dataDxfId="8"/>
    <tableColumn id="2" xr3:uid="{92C44A95-C2A9-4C21-937F-6C26C14BAAE3}" uniqueName="2" name="Product" queryTableFieldId="2" dataDxfId="7"/>
    <tableColumn id="3" xr3:uid="{DF7FFB0E-A0C6-4C20-B209-82665EEE9D08}" uniqueName="3" name="Category" queryTableFieldId="3" dataDxfId="6"/>
    <tableColumn id="4" xr3:uid="{B97C620E-38F5-4C02-B260-AFA706D12C81}" uniqueName="4" name="UnitPrice" queryTableFieldId="4"/>
    <tableColumn id="5" xr3:uid="{671CB967-F981-4EEB-8962-763E2F78C065}" uniqueName="5" name="UnitCos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DAC6-77E5-494B-BCF8-8A9728F8F042}">
  <dimension ref="A2:P24"/>
  <sheetViews>
    <sheetView showGridLines="0" workbookViewId="0">
      <selection activeCell="S17" sqref="S17"/>
    </sheetView>
  </sheetViews>
  <sheetFormatPr defaultRowHeight="14.25" x14ac:dyDescent="0.45"/>
  <cols>
    <col min="1" max="1" width="15.9296875" bestFit="1" customWidth="1"/>
    <col min="2" max="2" width="14.73046875" bestFit="1" customWidth="1"/>
    <col min="3" max="4" width="8.265625" bestFit="1" customWidth="1"/>
    <col min="5" max="5" width="9.86328125" bestFit="1" customWidth="1"/>
    <col min="8" max="8" width="13.6640625" bestFit="1" customWidth="1"/>
    <col min="10" max="10" width="18.33203125" bestFit="1" customWidth="1"/>
    <col min="11" max="11" width="11" bestFit="1" customWidth="1"/>
    <col min="12" max="12" width="9.86328125" bestFit="1" customWidth="1"/>
    <col min="13" max="13" width="8.265625" bestFit="1" customWidth="1"/>
    <col min="14" max="14" width="9.86328125" bestFit="1" customWidth="1"/>
    <col min="15" max="15" width="11.9296875" bestFit="1" customWidth="1"/>
    <col min="16" max="16" width="13.6640625" bestFit="1" customWidth="1"/>
  </cols>
  <sheetData>
    <row r="2" spans="1:11" ht="14.65" thickBot="1" x14ac:dyDescent="0.5"/>
    <row r="3" spans="1:11" x14ac:dyDescent="0.45">
      <c r="A3" s="6" t="s">
        <v>292</v>
      </c>
      <c r="B3" s="7" t="s">
        <v>294</v>
      </c>
      <c r="J3" s="6" t="s">
        <v>292</v>
      </c>
      <c r="K3" s="7" t="s">
        <v>295</v>
      </c>
    </row>
    <row r="4" spans="1:11" x14ac:dyDescent="0.45">
      <c r="A4" s="8" t="s">
        <v>25</v>
      </c>
      <c r="B4" s="9">
        <v>421925</v>
      </c>
      <c r="J4" s="8" t="s">
        <v>25</v>
      </c>
      <c r="K4" s="9">
        <v>59225</v>
      </c>
    </row>
    <row r="5" spans="1:11" x14ac:dyDescent="0.45">
      <c r="A5" s="8" t="s">
        <v>27</v>
      </c>
      <c r="B5" s="9">
        <v>199762.5</v>
      </c>
      <c r="J5" s="8" t="s">
        <v>27</v>
      </c>
      <c r="K5" s="9">
        <v>31042.5</v>
      </c>
    </row>
    <row r="6" spans="1:11" x14ac:dyDescent="0.45">
      <c r="A6" s="8" t="s">
        <v>22</v>
      </c>
      <c r="B6" s="9">
        <v>146797.5</v>
      </c>
      <c r="J6" s="8" t="s">
        <v>22</v>
      </c>
      <c r="K6" s="9">
        <v>27077.5</v>
      </c>
    </row>
    <row r="7" spans="1:11" x14ac:dyDescent="0.45">
      <c r="A7" s="8" t="s">
        <v>18</v>
      </c>
      <c r="B7" s="9">
        <v>74464</v>
      </c>
      <c r="J7" s="8" t="s">
        <v>29</v>
      </c>
      <c r="K7" s="9">
        <v>12600</v>
      </c>
    </row>
    <row r="8" spans="1:11" ht="14.65" thickBot="1" x14ac:dyDescent="0.5">
      <c r="A8" s="10" t="s">
        <v>15</v>
      </c>
      <c r="B8" s="11">
        <v>44040</v>
      </c>
      <c r="J8" s="8" t="s">
        <v>34</v>
      </c>
      <c r="K8" s="9">
        <v>12279</v>
      </c>
    </row>
    <row r="9" spans="1:11" x14ac:dyDescent="0.45">
      <c r="J9" s="8" t="s">
        <v>18</v>
      </c>
      <c r="K9" s="9">
        <v>12184</v>
      </c>
    </row>
    <row r="10" spans="1:11" x14ac:dyDescent="0.45">
      <c r="J10" s="8" t="s">
        <v>20</v>
      </c>
      <c r="K10" s="9">
        <v>12090</v>
      </c>
    </row>
    <row r="11" spans="1:11" x14ac:dyDescent="0.45">
      <c r="J11" s="8" t="s">
        <v>15</v>
      </c>
      <c r="K11" s="9">
        <v>12090</v>
      </c>
    </row>
    <row r="12" spans="1:11" x14ac:dyDescent="0.45">
      <c r="J12" s="8" t="s">
        <v>39</v>
      </c>
      <c r="K12" s="9">
        <v>8896</v>
      </c>
    </row>
    <row r="13" spans="1:11" x14ac:dyDescent="0.45">
      <c r="J13" s="8" t="s">
        <v>32</v>
      </c>
      <c r="K13" s="9">
        <v>7959.25</v>
      </c>
    </row>
    <row r="14" spans="1:11" ht="14.65" thickBot="1" x14ac:dyDescent="0.5">
      <c r="J14" s="10" t="s">
        <v>293</v>
      </c>
      <c r="K14" s="11">
        <v>195443.25</v>
      </c>
    </row>
    <row r="16" spans="1:11" ht="14.65" thickBot="1" x14ac:dyDescent="0.5"/>
    <row r="17" spans="1:16" x14ac:dyDescent="0.45">
      <c r="A17" s="6" t="s">
        <v>294</v>
      </c>
      <c r="B17" s="12" t="s">
        <v>296</v>
      </c>
      <c r="C17" s="13"/>
      <c r="D17" s="13"/>
      <c r="E17" s="7"/>
      <c r="H17" s="6" t="s">
        <v>294</v>
      </c>
      <c r="I17" s="12" t="s">
        <v>296</v>
      </c>
      <c r="J17" s="13"/>
      <c r="K17" s="13"/>
      <c r="L17" s="7"/>
      <c r="O17" s="6" t="s">
        <v>292</v>
      </c>
      <c r="P17" s="7" t="s">
        <v>294</v>
      </c>
    </row>
    <row r="18" spans="1:16" x14ac:dyDescent="0.45">
      <c r="A18" s="14" t="s">
        <v>292</v>
      </c>
      <c r="B18" s="4" t="s">
        <v>67</v>
      </c>
      <c r="C18" s="4" t="s">
        <v>60</v>
      </c>
      <c r="D18" s="4" t="s">
        <v>55</v>
      </c>
      <c r="E18" s="15" t="s">
        <v>293</v>
      </c>
      <c r="H18" s="14" t="s">
        <v>292</v>
      </c>
      <c r="I18" s="4" t="s">
        <v>59</v>
      </c>
      <c r="J18" s="4" t="s">
        <v>71</v>
      </c>
      <c r="K18" s="4" t="s">
        <v>54</v>
      </c>
      <c r="L18" s="15" t="s">
        <v>293</v>
      </c>
      <c r="O18" s="8" t="s">
        <v>7</v>
      </c>
      <c r="P18" s="9">
        <v>16483.8</v>
      </c>
    </row>
    <row r="19" spans="1:16" x14ac:dyDescent="0.45">
      <c r="A19" s="8" t="s">
        <v>81</v>
      </c>
      <c r="B19" s="5">
        <v>193316.5</v>
      </c>
      <c r="C19" s="5"/>
      <c r="D19" s="5"/>
      <c r="E19" s="9">
        <v>193316.5</v>
      </c>
      <c r="H19" s="8" t="s">
        <v>23</v>
      </c>
      <c r="I19" s="5">
        <v>350905</v>
      </c>
      <c r="J19" s="5">
        <v>259590</v>
      </c>
      <c r="K19" s="5">
        <v>157990</v>
      </c>
      <c r="L19" s="9">
        <v>768485</v>
      </c>
      <c r="O19" s="8" t="s">
        <v>30</v>
      </c>
      <c r="P19" s="9">
        <v>81980.25</v>
      </c>
    </row>
    <row r="20" spans="1:16" x14ac:dyDescent="0.45">
      <c r="A20" s="8" t="s">
        <v>64</v>
      </c>
      <c r="B20" s="5"/>
      <c r="C20" s="5"/>
      <c r="D20" s="5">
        <v>144780.1</v>
      </c>
      <c r="E20" s="9">
        <v>144780.1</v>
      </c>
      <c r="H20" s="8" t="s">
        <v>16</v>
      </c>
      <c r="I20" s="5">
        <v>42525</v>
      </c>
      <c r="J20" s="5">
        <v>65262</v>
      </c>
      <c r="K20" s="5">
        <v>48427</v>
      </c>
      <c r="L20" s="9">
        <v>156214</v>
      </c>
      <c r="O20" s="8" t="s">
        <v>16</v>
      </c>
      <c r="P20" s="9">
        <v>156214</v>
      </c>
    </row>
    <row r="21" spans="1:16" x14ac:dyDescent="0.45">
      <c r="A21" s="8" t="s">
        <v>56</v>
      </c>
      <c r="B21" s="5"/>
      <c r="C21" s="5"/>
      <c r="D21" s="5">
        <v>139809.5</v>
      </c>
      <c r="E21" s="9">
        <v>139809.5</v>
      </c>
      <c r="H21" s="8" t="s">
        <v>30</v>
      </c>
      <c r="I21" s="5">
        <v>21422</v>
      </c>
      <c r="J21" s="5">
        <v>38286.5</v>
      </c>
      <c r="K21" s="5">
        <v>22271.75</v>
      </c>
      <c r="L21" s="9">
        <v>81980.25</v>
      </c>
      <c r="O21" s="8" t="s">
        <v>23</v>
      </c>
      <c r="P21" s="9">
        <v>768485</v>
      </c>
    </row>
    <row r="22" spans="1:16" x14ac:dyDescent="0.45">
      <c r="A22" s="8" t="s">
        <v>74</v>
      </c>
      <c r="B22" s="5">
        <v>132601</v>
      </c>
      <c r="C22" s="5"/>
      <c r="D22" s="5"/>
      <c r="E22" s="9">
        <v>132601</v>
      </c>
      <c r="H22" s="8" t="s">
        <v>37</v>
      </c>
      <c r="I22" s="5">
        <v>11662</v>
      </c>
      <c r="J22" s="5">
        <v>12796</v>
      </c>
      <c r="K22" s="5">
        <v>11217.5</v>
      </c>
      <c r="L22" s="9">
        <v>35675.5</v>
      </c>
      <c r="O22" s="8" t="s">
        <v>37</v>
      </c>
      <c r="P22" s="9">
        <v>35675.5</v>
      </c>
    </row>
    <row r="23" spans="1:16" ht="14.65" thickBot="1" x14ac:dyDescent="0.5">
      <c r="A23" s="8" t="s">
        <v>61</v>
      </c>
      <c r="B23" s="5"/>
      <c r="C23" s="5">
        <v>105455.05</v>
      </c>
      <c r="D23" s="5"/>
      <c r="E23" s="9">
        <v>105455.05</v>
      </c>
      <c r="H23" s="8" t="s">
        <v>7</v>
      </c>
      <c r="I23" s="5">
        <v>7404.4500000000007</v>
      </c>
      <c r="J23" s="5">
        <v>3605</v>
      </c>
      <c r="K23" s="5">
        <v>5474.35</v>
      </c>
      <c r="L23" s="9">
        <v>16483.800000000003</v>
      </c>
      <c r="O23" s="10" t="s">
        <v>293</v>
      </c>
      <c r="P23" s="11">
        <v>1058838.55</v>
      </c>
    </row>
    <row r="24" spans="1:16" ht="14.65" thickBot="1" x14ac:dyDescent="0.5">
      <c r="A24" s="10" t="s">
        <v>293</v>
      </c>
      <c r="B24" s="16">
        <v>325917.5</v>
      </c>
      <c r="C24" s="16">
        <v>105455.05</v>
      </c>
      <c r="D24" s="16">
        <v>284589.59999999998</v>
      </c>
      <c r="E24" s="11">
        <v>715962.14999999991</v>
      </c>
      <c r="H24" s="10" t="s">
        <v>293</v>
      </c>
      <c r="I24" s="16">
        <v>433918.45</v>
      </c>
      <c r="J24" s="16">
        <v>379539.5</v>
      </c>
      <c r="K24" s="16">
        <v>245380.6</v>
      </c>
      <c r="L24" s="11">
        <v>1058838.55</v>
      </c>
    </row>
  </sheetData>
  <sheetProtection sheet="1" objects="1" scenarios="1" selectLockedCells="1"/>
  <pageMargins left="0.7" right="0.7" top="0.75" bottom="0.75" header="0.3" footer="0.3"/>
  <pageSetup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4AA0-140D-4D20-91B0-C7F4E81F70D8}">
  <dimension ref="B2:L30"/>
  <sheetViews>
    <sheetView showGridLines="0" workbookViewId="0">
      <selection activeCell="B36" sqref="B36"/>
    </sheetView>
  </sheetViews>
  <sheetFormatPr defaultRowHeight="14.25" x14ac:dyDescent="0.45"/>
  <cols>
    <col min="2" max="2" width="12.19921875" bestFit="1" customWidth="1"/>
    <col min="3" max="3" width="13.6640625" bestFit="1" customWidth="1"/>
    <col min="4" max="4" width="16.59765625" bestFit="1" customWidth="1"/>
    <col min="11" max="11" width="12.19921875" bestFit="1" customWidth="1"/>
    <col min="12" max="12" width="10.9296875" bestFit="1" customWidth="1"/>
    <col min="13" max="13" width="13.3984375" bestFit="1" customWidth="1"/>
  </cols>
  <sheetData>
    <row r="2" spans="2:12" ht="14.65" thickBot="1" x14ac:dyDescent="0.5"/>
    <row r="3" spans="2:12" x14ac:dyDescent="0.45">
      <c r="B3" s="6" t="s">
        <v>292</v>
      </c>
      <c r="C3" s="7" t="s">
        <v>294</v>
      </c>
      <c r="K3" s="6" t="s">
        <v>292</v>
      </c>
      <c r="L3" s="7" t="s">
        <v>297</v>
      </c>
    </row>
    <row r="4" spans="2:12" x14ac:dyDescent="0.45">
      <c r="B4" s="8" t="s">
        <v>284</v>
      </c>
      <c r="C4" s="9">
        <v>50459</v>
      </c>
      <c r="K4" s="8" t="s">
        <v>282</v>
      </c>
      <c r="L4" s="15">
        <v>28</v>
      </c>
    </row>
    <row r="5" spans="2:12" x14ac:dyDescent="0.45">
      <c r="B5" s="8" t="s">
        <v>279</v>
      </c>
      <c r="C5" s="9">
        <v>58956</v>
      </c>
      <c r="K5" s="8" t="s">
        <v>285</v>
      </c>
      <c r="L5" s="15">
        <v>24</v>
      </c>
    </row>
    <row r="6" spans="2:12" x14ac:dyDescent="0.45">
      <c r="B6" s="8" t="s">
        <v>288</v>
      </c>
      <c r="C6" s="9">
        <v>66944.5</v>
      </c>
      <c r="K6" s="8" t="s">
        <v>281</v>
      </c>
      <c r="L6" s="15">
        <v>24</v>
      </c>
    </row>
    <row r="7" spans="2:12" x14ac:dyDescent="0.45">
      <c r="B7" s="8" t="s">
        <v>287</v>
      </c>
      <c r="C7" s="9">
        <v>78493.5</v>
      </c>
      <c r="K7" s="8" t="s">
        <v>283</v>
      </c>
      <c r="L7" s="15">
        <v>23</v>
      </c>
    </row>
    <row r="8" spans="2:12" x14ac:dyDescent="0.45">
      <c r="B8" s="8" t="s">
        <v>286</v>
      </c>
      <c r="C8" s="9">
        <v>88023.4</v>
      </c>
      <c r="K8" s="8" t="s">
        <v>286</v>
      </c>
      <c r="L8" s="15">
        <v>22</v>
      </c>
    </row>
    <row r="9" spans="2:12" x14ac:dyDescent="0.45">
      <c r="B9" s="8" t="s">
        <v>281</v>
      </c>
      <c r="C9" s="9">
        <v>105455.05</v>
      </c>
      <c r="K9" s="8" t="s">
        <v>287</v>
      </c>
      <c r="L9" s="15">
        <v>20</v>
      </c>
    </row>
    <row r="10" spans="2:12" x14ac:dyDescent="0.45">
      <c r="B10" s="8" t="s">
        <v>282</v>
      </c>
      <c r="C10" s="9">
        <v>132601</v>
      </c>
      <c r="K10" s="8" t="s">
        <v>280</v>
      </c>
      <c r="L10" s="15">
        <v>20</v>
      </c>
    </row>
    <row r="11" spans="2:12" x14ac:dyDescent="0.45">
      <c r="B11" s="8" t="s">
        <v>280</v>
      </c>
      <c r="C11" s="9">
        <v>139809.5</v>
      </c>
      <c r="K11" s="8" t="s">
        <v>284</v>
      </c>
      <c r="L11" s="15">
        <v>15</v>
      </c>
    </row>
    <row r="12" spans="2:12" x14ac:dyDescent="0.45">
      <c r="B12" s="8" t="s">
        <v>285</v>
      </c>
      <c r="C12" s="9">
        <v>144780.1</v>
      </c>
      <c r="K12" s="8" t="s">
        <v>288</v>
      </c>
      <c r="L12" s="15">
        <v>12</v>
      </c>
    </row>
    <row r="13" spans="2:12" x14ac:dyDescent="0.45">
      <c r="B13" s="8" t="s">
        <v>283</v>
      </c>
      <c r="C13" s="9">
        <v>193316.5</v>
      </c>
      <c r="K13" s="8" t="s">
        <v>279</v>
      </c>
      <c r="L13" s="15">
        <v>12</v>
      </c>
    </row>
    <row r="14" spans="2:12" ht="14.65" thickBot="1" x14ac:dyDescent="0.5">
      <c r="B14" s="10" t="s">
        <v>293</v>
      </c>
      <c r="C14" s="11">
        <v>1058838.55</v>
      </c>
      <c r="K14" s="10" t="s">
        <v>293</v>
      </c>
      <c r="L14" s="17">
        <v>200</v>
      </c>
    </row>
    <row r="18" spans="2:3" ht="14.65" thickBot="1" x14ac:dyDescent="0.5"/>
    <row r="19" spans="2:3" x14ac:dyDescent="0.45">
      <c r="B19" s="6" t="s">
        <v>292</v>
      </c>
      <c r="C19" s="7" t="s">
        <v>295</v>
      </c>
    </row>
    <row r="20" spans="2:3" x14ac:dyDescent="0.45">
      <c r="B20" s="8" t="s">
        <v>283</v>
      </c>
      <c r="C20" s="9">
        <v>28785.5</v>
      </c>
    </row>
    <row r="21" spans="2:3" x14ac:dyDescent="0.45">
      <c r="B21" s="8" t="s">
        <v>285</v>
      </c>
      <c r="C21" s="9">
        <v>27143.1</v>
      </c>
    </row>
    <row r="22" spans="2:3" x14ac:dyDescent="0.45">
      <c r="B22" s="8" t="s">
        <v>282</v>
      </c>
      <c r="C22" s="9">
        <v>26506</v>
      </c>
    </row>
    <row r="23" spans="2:3" x14ac:dyDescent="0.45">
      <c r="B23" s="8" t="s">
        <v>281</v>
      </c>
      <c r="C23" s="9">
        <v>24576.05</v>
      </c>
    </row>
    <row r="24" spans="2:3" x14ac:dyDescent="0.45">
      <c r="B24" s="8" t="s">
        <v>280</v>
      </c>
      <c r="C24" s="9">
        <v>23318.5</v>
      </c>
    </row>
    <row r="25" spans="2:3" x14ac:dyDescent="0.45">
      <c r="B25" s="8" t="s">
        <v>286</v>
      </c>
      <c r="C25" s="9">
        <v>21694.400000000001</v>
      </c>
    </row>
    <row r="26" spans="2:3" x14ac:dyDescent="0.45">
      <c r="B26" s="8" t="s">
        <v>287</v>
      </c>
      <c r="C26" s="9">
        <v>19175.5</v>
      </c>
    </row>
    <row r="27" spans="2:3" x14ac:dyDescent="0.45">
      <c r="B27" s="8" t="s">
        <v>288</v>
      </c>
      <c r="C27" s="9">
        <v>13778.5</v>
      </c>
    </row>
    <row r="28" spans="2:3" x14ac:dyDescent="0.45">
      <c r="B28" s="8" t="s">
        <v>284</v>
      </c>
      <c r="C28" s="9">
        <v>13459</v>
      </c>
    </row>
    <row r="29" spans="2:3" x14ac:dyDescent="0.45">
      <c r="B29" s="8" t="s">
        <v>279</v>
      </c>
      <c r="C29" s="9">
        <v>9454</v>
      </c>
    </row>
    <row r="30" spans="2:3" ht="14.65" thickBot="1" x14ac:dyDescent="0.5">
      <c r="B30" s="10" t="s">
        <v>293</v>
      </c>
      <c r="C30" s="11">
        <v>207890.55</v>
      </c>
    </row>
  </sheetData>
  <sheetProtection sheet="1" objects="1" scenarios="1"/>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E399-654B-4741-8B19-870A719AF213}">
  <dimension ref="A2:I14"/>
  <sheetViews>
    <sheetView showGridLines="0" tabSelected="1" workbookViewId="0">
      <selection activeCell="O20" sqref="O20"/>
    </sheetView>
  </sheetViews>
  <sheetFormatPr defaultRowHeight="14.25" x14ac:dyDescent="0.45"/>
  <cols>
    <col min="1" max="1" width="18.33203125" bestFit="1" customWidth="1"/>
    <col min="2" max="2" width="13.6640625" bestFit="1" customWidth="1"/>
    <col min="3" max="3" width="10.9296875" bestFit="1" customWidth="1"/>
    <col min="9" max="9" width="13.6640625" bestFit="1" customWidth="1"/>
    <col min="10" max="10" width="11.9296875" bestFit="1" customWidth="1"/>
    <col min="11" max="11" width="13.6640625" bestFit="1" customWidth="1"/>
    <col min="14" max="14" width="11.9296875" bestFit="1" customWidth="1"/>
  </cols>
  <sheetData>
    <row r="2" spans="1:9" ht="14.65" thickBot="1" x14ac:dyDescent="0.5"/>
    <row r="3" spans="1:9" x14ac:dyDescent="0.45">
      <c r="A3" s="6" t="s">
        <v>292</v>
      </c>
      <c r="B3" s="13" t="s">
        <v>294</v>
      </c>
      <c r="C3" s="7" t="s">
        <v>297</v>
      </c>
      <c r="H3" s="6" t="s">
        <v>292</v>
      </c>
      <c r="I3" s="7" t="s">
        <v>294</v>
      </c>
    </row>
    <row r="4" spans="1:9" x14ac:dyDescent="0.45">
      <c r="A4" s="8" t="s">
        <v>25</v>
      </c>
      <c r="B4" s="5">
        <v>421925</v>
      </c>
      <c r="C4" s="15">
        <v>21</v>
      </c>
      <c r="H4" s="8" t="s">
        <v>23</v>
      </c>
      <c r="I4" s="9">
        <v>768485</v>
      </c>
    </row>
    <row r="5" spans="1:9" x14ac:dyDescent="0.45">
      <c r="A5" s="8" t="s">
        <v>27</v>
      </c>
      <c r="B5" s="5">
        <v>199762.5</v>
      </c>
      <c r="C5" s="15">
        <v>15</v>
      </c>
      <c r="H5" s="8" t="s">
        <v>16</v>
      </c>
      <c r="I5" s="9">
        <v>156214</v>
      </c>
    </row>
    <row r="6" spans="1:9" x14ac:dyDescent="0.45">
      <c r="A6" s="8" t="s">
        <v>22</v>
      </c>
      <c r="B6" s="5">
        <v>146797.5</v>
      </c>
      <c r="C6" s="15">
        <v>13</v>
      </c>
      <c r="H6" s="8" t="s">
        <v>30</v>
      </c>
      <c r="I6" s="9">
        <v>81980.25</v>
      </c>
    </row>
    <row r="7" spans="1:9" ht="14.65" thickBot="1" x14ac:dyDescent="0.5">
      <c r="A7" s="8" t="s">
        <v>18</v>
      </c>
      <c r="B7" s="5">
        <v>74464</v>
      </c>
      <c r="C7" s="15">
        <v>10</v>
      </c>
      <c r="H7" s="10" t="s">
        <v>293</v>
      </c>
      <c r="I7" s="11">
        <v>1006679.25</v>
      </c>
    </row>
    <row r="8" spans="1:9" x14ac:dyDescent="0.45">
      <c r="A8" s="8" t="s">
        <v>15</v>
      </c>
      <c r="B8" s="5">
        <v>44040</v>
      </c>
      <c r="C8" s="15">
        <v>18</v>
      </c>
    </row>
    <row r="9" spans="1:9" x14ac:dyDescent="0.45">
      <c r="A9" s="8" t="s">
        <v>20</v>
      </c>
      <c r="B9" s="5">
        <v>37710</v>
      </c>
      <c r="C9" s="15">
        <v>15</v>
      </c>
    </row>
    <row r="10" spans="1:9" x14ac:dyDescent="0.45">
      <c r="A10" s="8" t="s">
        <v>29</v>
      </c>
      <c r="B10" s="5">
        <v>36960</v>
      </c>
      <c r="C10" s="15">
        <v>17</v>
      </c>
    </row>
    <row r="11" spans="1:9" x14ac:dyDescent="0.45">
      <c r="A11" s="8" t="s">
        <v>34</v>
      </c>
      <c r="B11" s="5">
        <v>27469</v>
      </c>
      <c r="C11" s="15">
        <v>18</v>
      </c>
    </row>
    <row r="12" spans="1:9" x14ac:dyDescent="0.45">
      <c r="A12" s="8" t="s">
        <v>39</v>
      </c>
      <c r="B12" s="5">
        <v>25264</v>
      </c>
      <c r="C12" s="15">
        <v>11</v>
      </c>
    </row>
    <row r="13" spans="1:9" x14ac:dyDescent="0.45">
      <c r="A13" s="8" t="s">
        <v>32</v>
      </c>
      <c r="B13" s="5">
        <v>17551.25</v>
      </c>
      <c r="C13" s="15">
        <v>16</v>
      </c>
    </row>
    <row r="14" spans="1:9" ht="14.65" thickBot="1" x14ac:dyDescent="0.5">
      <c r="A14" s="10" t="s">
        <v>293</v>
      </c>
      <c r="B14" s="16">
        <v>1031943.25</v>
      </c>
      <c r="C14" s="17">
        <v>154</v>
      </c>
    </row>
  </sheetData>
  <sheetProtection sheet="1" scenarios="1" selectLockedCells="1" pivotTables="0"/>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0D964-7E03-4DEA-9148-537B84E43B5B}">
  <dimension ref="A1:R201"/>
  <sheetViews>
    <sheetView topLeftCell="A2" workbookViewId="0">
      <selection activeCell="F16" sqref="A2:R201"/>
    </sheetView>
  </sheetViews>
  <sheetFormatPr defaultRowHeight="14.25" x14ac:dyDescent="0.45"/>
  <cols>
    <col min="1" max="1" width="9.86328125" bestFit="1" customWidth="1"/>
    <col min="2" max="2" width="11.265625" bestFit="1" customWidth="1"/>
    <col min="3" max="3" width="14.59765625" bestFit="1" customWidth="1"/>
    <col min="4" max="4" width="26.1328125" bestFit="1" customWidth="1"/>
    <col min="5" max="5" width="10.9296875" bestFit="1" customWidth="1"/>
    <col min="6" max="6" width="20.59765625" bestFit="1" customWidth="1"/>
    <col min="7" max="7" width="19.73046875" bestFit="1" customWidth="1"/>
    <col min="8" max="8" width="9.59765625" bestFit="1" customWidth="1"/>
    <col min="9" max="9" width="8.3984375" bestFit="1" customWidth="1"/>
    <col min="10" max="10" width="17.19921875" bestFit="1" customWidth="1"/>
    <col min="11" max="11" width="9.6640625" bestFit="1" customWidth="1"/>
    <col min="12" max="12" width="10.33203125" bestFit="1" customWidth="1"/>
    <col min="13" max="13" width="9.86328125" bestFit="1" customWidth="1"/>
    <col min="14" max="14" width="10" bestFit="1" customWidth="1"/>
    <col min="15" max="15" width="9.9296875" bestFit="1" customWidth="1"/>
    <col min="16" max="16" width="12.86328125" bestFit="1" customWidth="1"/>
    <col min="17" max="17" width="8.796875" bestFit="1" customWidth="1"/>
    <col min="18" max="18" width="12.6640625" bestFit="1" customWidth="1"/>
  </cols>
  <sheetData>
    <row r="1" spans="1:18" x14ac:dyDescent="0.45">
      <c r="A1" t="s">
        <v>40</v>
      </c>
      <c r="B1" t="s">
        <v>41</v>
      </c>
      <c r="C1" t="s">
        <v>42</v>
      </c>
      <c r="D1" t="s">
        <v>289</v>
      </c>
      <c r="E1" t="s">
        <v>0</v>
      </c>
      <c r="F1" t="s">
        <v>290</v>
      </c>
      <c r="G1" t="s">
        <v>291</v>
      </c>
      <c r="H1" t="s">
        <v>43</v>
      </c>
      <c r="I1" t="s">
        <v>44</v>
      </c>
      <c r="J1" t="s">
        <v>45</v>
      </c>
      <c r="K1" t="s">
        <v>46</v>
      </c>
      <c r="L1" t="s">
        <v>3</v>
      </c>
      <c r="M1" t="s">
        <v>4</v>
      </c>
      <c r="N1" t="s">
        <v>47</v>
      </c>
      <c r="O1" t="s">
        <v>48</v>
      </c>
      <c r="P1" t="s">
        <v>49</v>
      </c>
      <c r="Q1" t="s">
        <v>50</v>
      </c>
      <c r="R1" t="s">
        <v>51</v>
      </c>
    </row>
    <row r="2" spans="1:18" x14ac:dyDescent="0.45">
      <c r="A2" t="s">
        <v>52</v>
      </c>
      <c r="B2" s="1">
        <v>45619</v>
      </c>
      <c r="C2" t="s">
        <v>53</v>
      </c>
      <c r="D2" t="s">
        <v>280</v>
      </c>
      <c r="E2" t="s">
        <v>5</v>
      </c>
      <c r="F2" t="s">
        <v>7</v>
      </c>
      <c r="G2" t="s">
        <v>6</v>
      </c>
      <c r="H2" t="s">
        <v>54</v>
      </c>
      <c r="I2" t="s">
        <v>55</v>
      </c>
      <c r="J2" t="s">
        <v>56</v>
      </c>
      <c r="K2">
        <v>9</v>
      </c>
      <c r="L2" s="2">
        <v>25</v>
      </c>
      <c r="M2" s="2">
        <v>11</v>
      </c>
      <c r="N2" s="3">
        <v>0.05</v>
      </c>
      <c r="O2" s="2">
        <v>213.75</v>
      </c>
      <c r="P2" s="2">
        <v>4.2750000000000004</v>
      </c>
      <c r="Q2" s="2">
        <v>114.75</v>
      </c>
      <c r="R2" s="3">
        <v>0.5368421052631579</v>
      </c>
    </row>
    <row r="3" spans="1:18" x14ac:dyDescent="0.45">
      <c r="A3" t="s">
        <v>75</v>
      </c>
      <c r="B3" s="1">
        <v>45486</v>
      </c>
      <c r="C3" t="s">
        <v>53</v>
      </c>
      <c r="D3" t="s">
        <v>280</v>
      </c>
      <c r="E3" t="s">
        <v>17</v>
      </c>
      <c r="F3" t="s">
        <v>16</v>
      </c>
      <c r="G3" t="s">
        <v>18</v>
      </c>
      <c r="H3" t="s">
        <v>71</v>
      </c>
      <c r="I3" t="s">
        <v>55</v>
      </c>
      <c r="J3" t="s">
        <v>56</v>
      </c>
      <c r="K3">
        <v>20</v>
      </c>
      <c r="L3" s="2">
        <v>520</v>
      </c>
      <c r="M3" s="2">
        <v>360</v>
      </c>
      <c r="N3" s="3">
        <v>0.15</v>
      </c>
      <c r="O3" s="2">
        <v>8840</v>
      </c>
      <c r="P3" s="2">
        <v>353.6</v>
      </c>
      <c r="Q3" s="2">
        <v>1640</v>
      </c>
      <c r="R3" s="3">
        <v>0.18552036199095023</v>
      </c>
    </row>
    <row r="4" spans="1:18" x14ac:dyDescent="0.45">
      <c r="A4" t="s">
        <v>62</v>
      </c>
      <c r="B4" s="1">
        <v>45594</v>
      </c>
      <c r="C4" t="s">
        <v>63</v>
      </c>
      <c r="D4" t="s">
        <v>285</v>
      </c>
      <c r="E4" t="s">
        <v>5</v>
      </c>
      <c r="F4" t="s">
        <v>7</v>
      </c>
      <c r="G4" t="s">
        <v>6</v>
      </c>
      <c r="H4" t="s">
        <v>59</v>
      </c>
      <c r="I4" t="s">
        <v>55</v>
      </c>
      <c r="J4" t="s">
        <v>64</v>
      </c>
      <c r="K4">
        <v>3</v>
      </c>
      <c r="L4" s="2">
        <v>25</v>
      </c>
      <c r="M4" s="2">
        <v>11</v>
      </c>
      <c r="N4" s="3">
        <v>0</v>
      </c>
      <c r="O4" s="2">
        <v>75</v>
      </c>
      <c r="P4" s="2">
        <v>1.5</v>
      </c>
      <c r="Q4" s="2">
        <v>42</v>
      </c>
      <c r="R4" s="3">
        <v>0.56000000000000005</v>
      </c>
    </row>
    <row r="5" spans="1:18" x14ac:dyDescent="0.45">
      <c r="A5" t="s">
        <v>87</v>
      </c>
      <c r="B5" s="1">
        <v>45528</v>
      </c>
      <c r="C5" t="s">
        <v>63</v>
      </c>
      <c r="D5" t="s">
        <v>285</v>
      </c>
      <c r="E5" t="s">
        <v>14</v>
      </c>
      <c r="F5" t="s">
        <v>16</v>
      </c>
      <c r="G5" t="s">
        <v>15</v>
      </c>
      <c r="H5" t="s">
        <v>54</v>
      </c>
      <c r="I5" t="s">
        <v>55</v>
      </c>
      <c r="J5" t="s">
        <v>64</v>
      </c>
      <c r="K5">
        <v>23</v>
      </c>
      <c r="L5" s="2">
        <v>240</v>
      </c>
      <c r="M5" s="2">
        <v>150</v>
      </c>
      <c r="N5" s="3">
        <v>0.2</v>
      </c>
      <c r="O5" s="2">
        <v>4416</v>
      </c>
      <c r="P5" s="2">
        <v>88.32</v>
      </c>
      <c r="Q5" s="2">
        <v>966</v>
      </c>
      <c r="R5" s="3">
        <v>0.21875</v>
      </c>
    </row>
    <row r="6" spans="1:18" x14ac:dyDescent="0.45">
      <c r="A6" t="s">
        <v>57</v>
      </c>
      <c r="B6" s="1">
        <v>45406</v>
      </c>
      <c r="C6" t="s">
        <v>58</v>
      </c>
      <c r="D6" t="s">
        <v>281</v>
      </c>
      <c r="E6" t="s">
        <v>31</v>
      </c>
      <c r="F6" t="s">
        <v>30</v>
      </c>
      <c r="G6" t="s">
        <v>32</v>
      </c>
      <c r="H6" t="s">
        <v>59</v>
      </c>
      <c r="I6" t="s">
        <v>60</v>
      </c>
      <c r="J6" t="s">
        <v>61</v>
      </c>
      <c r="K6">
        <v>22</v>
      </c>
      <c r="L6" s="2">
        <v>95</v>
      </c>
      <c r="M6" s="2">
        <v>44</v>
      </c>
      <c r="N6" s="3">
        <v>0.2</v>
      </c>
      <c r="O6" s="2">
        <v>1672</v>
      </c>
      <c r="P6" s="2">
        <v>33.44</v>
      </c>
      <c r="Q6" s="2">
        <v>704</v>
      </c>
      <c r="R6" s="3">
        <v>0.42105263157894735</v>
      </c>
    </row>
    <row r="7" spans="1:18" x14ac:dyDescent="0.45">
      <c r="A7" t="s">
        <v>70</v>
      </c>
      <c r="B7" s="1">
        <v>45295</v>
      </c>
      <c r="C7" t="s">
        <v>58</v>
      </c>
      <c r="D7" t="s">
        <v>281</v>
      </c>
      <c r="E7" t="s">
        <v>31</v>
      </c>
      <c r="F7" t="s">
        <v>30</v>
      </c>
      <c r="G7" t="s">
        <v>32</v>
      </c>
      <c r="H7" t="s">
        <v>71</v>
      </c>
      <c r="I7" t="s">
        <v>60</v>
      </c>
      <c r="J7" t="s">
        <v>61</v>
      </c>
      <c r="K7">
        <v>11</v>
      </c>
      <c r="L7" s="2">
        <v>95</v>
      </c>
      <c r="M7" s="2">
        <v>44</v>
      </c>
      <c r="N7" s="3">
        <v>0.1</v>
      </c>
      <c r="O7" s="2">
        <v>940.5</v>
      </c>
      <c r="P7" s="2">
        <v>18.809999999999999</v>
      </c>
      <c r="Q7" s="2">
        <v>456.5</v>
      </c>
      <c r="R7" s="3">
        <v>0.4853801169590643</v>
      </c>
    </row>
    <row r="8" spans="1:18" x14ac:dyDescent="0.45">
      <c r="A8" t="s">
        <v>82</v>
      </c>
      <c r="B8" s="1">
        <v>45587</v>
      </c>
      <c r="C8" t="s">
        <v>73</v>
      </c>
      <c r="D8" t="s">
        <v>282</v>
      </c>
      <c r="E8" t="s">
        <v>31</v>
      </c>
      <c r="F8" t="s">
        <v>30</v>
      </c>
      <c r="G8" t="s">
        <v>32</v>
      </c>
      <c r="H8" t="s">
        <v>59</v>
      </c>
      <c r="I8" t="s">
        <v>67</v>
      </c>
      <c r="J8" t="s">
        <v>74</v>
      </c>
      <c r="K8">
        <v>2</v>
      </c>
      <c r="L8" s="2">
        <v>95</v>
      </c>
      <c r="M8" s="2">
        <v>44</v>
      </c>
      <c r="N8" s="3">
        <v>0</v>
      </c>
      <c r="O8" s="2">
        <v>190</v>
      </c>
      <c r="P8" s="2">
        <v>3.8</v>
      </c>
      <c r="Q8" s="2">
        <v>102</v>
      </c>
      <c r="R8" s="3">
        <v>0.5368421052631579</v>
      </c>
    </row>
    <row r="9" spans="1:18" x14ac:dyDescent="0.45">
      <c r="A9" t="s">
        <v>72</v>
      </c>
      <c r="B9" s="1">
        <v>45371</v>
      </c>
      <c r="C9" t="s">
        <v>73</v>
      </c>
      <c r="D9" t="s">
        <v>282</v>
      </c>
      <c r="E9" t="s">
        <v>33</v>
      </c>
      <c r="F9" t="s">
        <v>30</v>
      </c>
      <c r="G9" t="s">
        <v>34</v>
      </c>
      <c r="H9" t="s">
        <v>71</v>
      </c>
      <c r="I9" t="s">
        <v>67</v>
      </c>
      <c r="J9" t="s">
        <v>74</v>
      </c>
      <c r="K9">
        <v>4</v>
      </c>
      <c r="L9" s="2">
        <v>130</v>
      </c>
      <c r="M9" s="2">
        <v>62</v>
      </c>
      <c r="N9" s="3">
        <v>0</v>
      </c>
      <c r="O9" s="2">
        <v>520</v>
      </c>
      <c r="P9" s="2">
        <v>10.4</v>
      </c>
      <c r="Q9" s="2">
        <v>272</v>
      </c>
      <c r="R9" s="3">
        <v>0.52307692307692311</v>
      </c>
    </row>
    <row r="10" spans="1:18" x14ac:dyDescent="0.45">
      <c r="A10" t="s">
        <v>65</v>
      </c>
      <c r="B10" s="1">
        <v>45411</v>
      </c>
      <c r="C10" t="s">
        <v>66</v>
      </c>
      <c r="D10" t="s">
        <v>287</v>
      </c>
      <c r="E10" t="s">
        <v>26</v>
      </c>
      <c r="F10" t="s">
        <v>23</v>
      </c>
      <c r="G10" t="s">
        <v>27</v>
      </c>
      <c r="H10" t="s">
        <v>59</v>
      </c>
      <c r="I10" t="s">
        <v>67</v>
      </c>
      <c r="J10" t="s">
        <v>68</v>
      </c>
      <c r="K10">
        <v>18</v>
      </c>
      <c r="L10" s="2">
        <v>1050</v>
      </c>
      <c r="M10" s="2">
        <v>760</v>
      </c>
      <c r="N10" s="3">
        <v>0.15</v>
      </c>
      <c r="O10" s="2">
        <v>16065</v>
      </c>
      <c r="P10" s="2">
        <v>963.9</v>
      </c>
      <c r="Q10" s="2">
        <v>2385</v>
      </c>
      <c r="R10" s="3">
        <v>0.1484593837535014</v>
      </c>
    </row>
    <row r="11" spans="1:18" x14ac:dyDescent="0.45">
      <c r="A11" t="s">
        <v>69</v>
      </c>
      <c r="B11" s="1">
        <v>45624</v>
      </c>
      <c r="C11" t="s">
        <v>66</v>
      </c>
      <c r="D11" t="s">
        <v>287</v>
      </c>
      <c r="E11" t="s">
        <v>19</v>
      </c>
      <c r="F11" t="s">
        <v>16</v>
      </c>
      <c r="G11" t="s">
        <v>20</v>
      </c>
      <c r="H11" t="s">
        <v>59</v>
      </c>
      <c r="I11" t="s">
        <v>67</v>
      </c>
      <c r="J11" t="s">
        <v>68</v>
      </c>
      <c r="K11">
        <v>15</v>
      </c>
      <c r="L11" s="2">
        <v>180</v>
      </c>
      <c r="M11" s="2">
        <v>105</v>
      </c>
      <c r="N11" s="3">
        <v>0.1</v>
      </c>
      <c r="O11" s="2">
        <v>2430</v>
      </c>
      <c r="P11" s="2">
        <v>48.6</v>
      </c>
      <c r="Q11" s="2">
        <v>855</v>
      </c>
      <c r="R11" s="3">
        <v>0.35185185185185186</v>
      </c>
    </row>
    <row r="12" spans="1:18" x14ac:dyDescent="0.45">
      <c r="A12" t="s">
        <v>76</v>
      </c>
      <c r="B12" s="1">
        <v>45314</v>
      </c>
      <c r="C12" t="s">
        <v>77</v>
      </c>
      <c r="D12" t="s">
        <v>286</v>
      </c>
      <c r="E12" t="s">
        <v>24</v>
      </c>
      <c r="F12" t="s">
        <v>23</v>
      </c>
      <c r="G12" t="s">
        <v>25</v>
      </c>
      <c r="H12" t="s">
        <v>59</v>
      </c>
      <c r="I12" t="s">
        <v>60</v>
      </c>
      <c r="J12" t="s">
        <v>78</v>
      </c>
      <c r="K12">
        <v>13</v>
      </c>
      <c r="L12" s="2">
        <v>1750</v>
      </c>
      <c r="M12" s="2">
        <v>1300</v>
      </c>
      <c r="N12" s="3">
        <v>0.1</v>
      </c>
      <c r="O12" s="2">
        <v>20475</v>
      </c>
      <c r="P12" s="2">
        <v>1228.5</v>
      </c>
      <c r="Q12" s="2">
        <v>3575</v>
      </c>
      <c r="R12" s="3">
        <v>0.17460317460317459</v>
      </c>
    </row>
    <row r="13" spans="1:18" x14ac:dyDescent="0.45">
      <c r="A13" t="s">
        <v>86</v>
      </c>
      <c r="B13" s="1">
        <v>45603</v>
      </c>
      <c r="C13" t="s">
        <v>58</v>
      </c>
      <c r="D13" t="s">
        <v>281</v>
      </c>
      <c r="E13" t="s">
        <v>24</v>
      </c>
      <c r="F13" t="s">
        <v>23</v>
      </c>
      <c r="G13" t="s">
        <v>25</v>
      </c>
      <c r="H13" t="s">
        <v>54</v>
      </c>
      <c r="I13" t="s">
        <v>60</v>
      </c>
      <c r="J13" t="s">
        <v>61</v>
      </c>
      <c r="K13">
        <v>8</v>
      </c>
      <c r="L13" s="2">
        <v>1750</v>
      </c>
      <c r="M13" s="2">
        <v>1300</v>
      </c>
      <c r="N13" s="3">
        <v>0.05</v>
      </c>
      <c r="O13" s="2">
        <v>13300</v>
      </c>
      <c r="P13" s="2">
        <v>532</v>
      </c>
      <c r="Q13" s="2">
        <v>2900</v>
      </c>
      <c r="R13" s="3">
        <v>0.21804511278195488</v>
      </c>
    </row>
    <row r="14" spans="1:18" x14ac:dyDescent="0.45">
      <c r="A14" t="s">
        <v>79</v>
      </c>
      <c r="B14" s="1">
        <v>45574</v>
      </c>
      <c r="C14" t="s">
        <v>80</v>
      </c>
      <c r="D14" t="s">
        <v>283</v>
      </c>
      <c r="E14" t="s">
        <v>35</v>
      </c>
      <c r="F14" t="s">
        <v>37</v>
      </c>
      <c r="G14" t="s">
        <v>36</v>
      </c>
      <c r="H14" t="s">
        <v>54</v>
      </c>
      <c r="I14" t="s">
        <v>67</v>
      </c>
      <c r="J14" t="s">
        <v>81</v>
      </c>
      <c r="K14">
        <v>20</v>
      </c>
      <c r="L14" s="2">
        <v>110</v>
      </c>
      <c r="M14" s="2">
        <v>55</v>
      </c>
      <c r="N14" s="3">
        <v>0.15</v>
      </c>
      <c r="O14" s="2">
        <v>1870</v>
      </c>
      <c r="P14" s="2">
        <v>37.4</v>
      </c>
      <c r="Q14" s="2">
        <v>770</v>
      </c>
      <c r="R14" s="3">
        <v>0.41176470588235298</v>
      </c>
    </row>
    <row r="15" spans="1:18" x14ac:dyDescent="0.45">
      <c r="A15" t="s">
        <v>83</v>
      </c>
      <c r="B15" s="1">
        <v>45440</v>
      </c>
      <c r="C15" t="s">
        <v>53</v>
      </c>
      <c r="D15" t="s">
        <v>280</v>
      </c>
      <c r="E15" t="s">
        <v>35</v>
      </c>
      <c r="F15" t="s">
        <v>37</v>
      </c>
      <c r="G15" t="s">
        <v>36</v>
      </c>
      <c r="H15" t="s">
        <v>59</v>
      </c>
      <c r="I15" t="s">
        <v>55</v>
      </c>
      <c r="J15" t="s">
        <v>56</v>
      </c>
      <c r="K15">
        <v>4</v>
      </c>
      <c r="L15" s="2">
        <v>110</v>
      </c>
      <c r="M15" s="2">
        <v>55</v>
      </c>
      <c r="N15" s="3">
        <v>0</v>
      </c>
      <c r="O15" s="2">
        <v>440</v>
      </c>
      <c r="P15" s="2">
        <v>8.8000000000000007</v>
      </c>
      <c r="Q15" s="2">
        <v>220</v>
      </c>
      <c r="R15" s="3">
        <v>0.5</v>
      </c>
    </row>
    <row r="16" spans="1:18" x14ac:dyDescent="0.45">
      <c r="A16" t="s">
        <v>84</v>
      </c>
      <c r="B16" s="1">
        <v>45434</v>
      </c>
      <c r="C16" t="s">
        <v>77</v>
      </c>
      <c r="D16" t="s">
        <v>286</v>
      </c>
      <c r="E16" t="s">
        <v>28</v>
      </c>
      <c r="F16" t="s">
        <v>30</v>
      </c>
      <c r="G16" t="s">
        <v>29</v>
      </c>
      <c r="H16" t="s">
        <v>71</v>
      </c>
      <c r="I16" t="s">
        <v>60</v>
      </c>
      <c r="J16" t="s">
        <v>78</v>
      </c>
      <c r="K16">
        <v>6</v>
      </c>
      <c r="L16" s="2">
        <v>210</v>
      </c>
      <c r="M16" s="2">
        <v>120</v>
      </c>
      <c r="N16" s="3">
        <v>0.05</v>
      </c>
      <c r="O16" s="2">
        <v>1197</v>
      </c>
      <c r="P16" s="2">
        <v>23.94</v>
      </c>
      <c r="Q16" s="2">
        <v>477</v>
      </c>
      <c r="R16" s="3">
        <v>0.39849624060150374</v>
      </c>
    </row>
    <row r="17" spans="1:18" x14ac:dyDescent="0.45">
      <c r="A17" t="s">
        <v>85</v>
      </c>
      <c r="B17" s="1">
        <v>45473</v>
      </c>
      <c r="C17" t="s">
        <v>73</v>
      </c>
      <c r="D17" t="s">
        <v>282</v>
      </c>
      <c r="E17" t="s">
        <v>28</v>
      </c>
      <c r="F17" t="s">
        <v>30</v>
      </c>
      <c r="G17" t="s">
        <v>29</v>
      </c>
      <c r="H17" t="s">
        <v>71</v>
      </c>
      <c r="I17" t="s">
        <v>67</v>
      </c>
      <c r="J17" t="s">
        <v>74</v>
      </c>
      <c r="K17">
        <v>23</v>
      </c>
      <c r="L17" s="2">
        <v>210</v>
      </c>
      <c r="M17" s="2">
        <v>120</v>
      </c>
      <c r="N17" s="3">
        <v>0.2</v>
      </c>
      <c r="O17" s="2">
        <v>3864</v>
      </c>
      <c r="P17" s="2">
        <v>77.28</v>
      </c>
      <c r="Q17" s="2">
        <v>1104</v>
      </c>
      <c r="R17" s="3">
        <v>0.2857142857142857</v>
      </c>
    </row>
    <row r="18" spans="1:18" x14ac:dyDescent="0.45">
      <c r="A18" t="s">
        <v>88</v>
      </c>
      <c r="B18" s="1">
        <v>45642</v>
      </c>
      <c r="C18" t="s">
        <v>89</v>
      </c>
      <c r="D18" t="s">
        <v>284</v>
      </c>
      <c r="E18" t="s">
        <v>35</v>
      </c>
      <c r="F18" t="s">
        <v>37</v>
      </c>
      <c r="G18" t="s">
        <v>36</v>
      </c>
      <c r="H18" t="s">
        <v>59</v>
      </c>
      <c r="I18" t="s">
        <v>55</v>
      </c>
      <c r="J18" t="s">
        <v>90</v>
      </c>
      <c r="K18">
        <v>8</v>
      </c>
      <c r="L18" s="2">
        <v>110</v>
      </c>
      <c r="M18" s="2">
        <v>55</v>
      </c>
      <c r="N18" s="3">
        <v>0.05</v>
      </c>
      <c r="O18" s="2">
        <v>836</v>
      </c>
      <c r="P18" s="2">
        <v>16.72</v>
      </c>
      <c r="Q18" s="2">
        <v>396</v>
      </c>
      <c r="R18" s="3">
        <v>0.47368421052631576</v>
      </c>
    </row>
    <row r="19" spans="1:18" x14ac:dyDescent="0.45">
      <c r="A19" t="s">
        <v>91</v>
      </c>
      <c r="B19" s="1">
        <v>45453</v>
      </c>
      <c r="C19" t="s">
        <v>63</v>
      </c>
      <c r="D19" t="s">
        <v>285</v>
      </c>
      <c r="E19" t="s">
        <v>14</v>
      </c>
      <c r="F19" t="s">
        <v>16</v>
      </c>
      <c r="G19" t="s">
        <v>15</v>
      </c>
      <c r="H19" t="s">
        <v>59</v>
      </c>
      <c r="I19" t="s">
        <v>55</v>
      </c>
      <c r="J19" t="s">
        <v>64</v>
      </c>
      <c r="K19">
        <v>7</v>
      </c>
      <c r="L19" s="2">
        <v>240</v>
      </c>
      <c r="M19" s="2">
        <v>150</v>
      </c>
      <c r="N19" s="3">
        <v>0.05</v>
      </c>
      <c r="O19" s="2">
        <v>1596</v>
      </c>
      <c r="P19" s="2">
        <v>31.92</v>
      </c>
      <c r="Q19" s="2">
        <v>546</v>
      </c>
      <c r="R19" s="3">
        <v>0.34210526315789475</v>
      </c>
    </row>
    <row r="20" spans="1:18" x14ac:dyDescent="0.45">
      <c r="A20" t="s">
        <v>92</v>
      </c>
      <c r="B20" s="1">
        <v>45400</v>
      </c>
      <c r="C20" t="s">
        <v>77</v>
      </c>
      <c r="D20" t="s">
        <v>286</v>
      </c>
      <c r="E20" t="s">
        <v>19</v>
      </c>
      <c r="F20" t="s">
        <v>16</v>
      </c>
      <c r="G20" t="s">
        <v>20</v>
      </c>
      <c r="H20" t="s">
        <v>54</v>
      </c>
      <c r="I20" t="s">
        <v>60</v>
      </c>
      <c r="J20" t="s">
        <v>78</v>
      </c>
      <c r="K20">
        <v>15</v>
      </c>
      <c r="L20" s="2">
        <v>180</v>
      </c>
      <c r="M20" s="2">
        <v>105</v>
      </c>
      <c r="N20" s="3">
        <v>0.1</v>
      </c>
      <c r="O20" s="2">
        <v>2430</v>
      </c>
      <c r="P20" s="2">
        <v>48.6</v>
      </c>
      <c r="Q20" s="2">
        <v>855</v>
      </c>
      <c r="R20" s="3">
        <v>0.35185185185185186</v>
      </c>
    </row>
    <row r="21" spans="1:18" x14ac:dyDescent="0.45">
      <c r="A21" t="s">
        <v>93</v>
      </c>
      <c r="B21" s="1">
        <v>45427</v>
      </c>
      <c r="C21" t="s">
        <v>58</v>
      </c>
      <c r="D21" t="s">
        <v>281</v>
      </c>
      <c r="E21" t="s">
        <v>12</v>
      </c>
      <c r="F21" t="s">
        <v>7</v>
      </c>
      <c r="G21" t="s">
        <v>13</v>
      </c>
      <c r="H21" t="s">
        <v>54</v>
      </c>
      <c r="I21" t="s">
        <v>60</v>
      </c>
      <c r="J21" t="s">
        <v>61</v>
      </c>
      <c r="K21">
        <v>18</v>
      </c>
      <c r="L21" s="2">
        <v>35</v>
      </c>
      <c r="M21" s="2">
        <v>14</v>
      </c>
      <c r="N21" s="3">
        <v>0.15</v>
      </c>
      <c r="O21" s="2">
        <v>535.5</v>
      </c>
      <c r="P21" s="2">
        <v>10.71</v>
      </c>
      <c r="Q21" s="2">
        <v>283.5</v>
      </c>
      <c r="R21" s="3">
        <v>0.52941176470588236</v>
      </c>
    </row>
    <row r="22" spans="1:18" x14ac:dyDescent="0.45">
      <c r="A22" t="s">
        <v>94</v>
      </c>
      <c r="B22" s="1">
        <v>45591</v>
      </c>
      <c r="C22" t="s">
        <v>63</v>
      </c>
      <c r="D22" t="s">
        <v>285</v>
      </c>
      <c r="E22" t="s">
        <v>38</v>
      </c>
      <c r="F22" t="s">
        <v>37</v>
      </c>
      <c r="G22" t="s">
        <v>39</v>
      </c>
      <c r="H22" t="s">
        <v>54</v>
      </c>
      <c r="I22" t="s">
        <v>55</v>
      </c>
      <c r="J22" t="s">
        <v>64</v>
      </c>
      <c r="K22">
        <v>13</v>
      </c>
      <c r="L22" s="2">
        <v>160</v>
      </c>
      <c r="M22" s="2">
        <v>88</v>
      </c>
      <c r="N22" s="3">
        <v>0.1</v>
      </c>
      <c r="O22" s="2">
        <v>1872</v>
      </c>
      <c r="P22" s="2">
        <v>37.44</v>
      </c>
      <c r="Q22" s="2">
        <v>728</v>
      </c>
      <c r="R22" s="3">
        <v>0.3888888888888889</v>
      </c>
    </row>
    <row r="23" spans="1:18" x14ac:dyDescent="0.45">
      <c r="A23" t="s">
        <v>95</v>
      </c>
      <c r="B23" s="1">
        <v>45404</v>
      </c>
      <c r="C23" t="s">
        <v>58</v>
      </c>
      <c r="D23" t="s">
        <v>281</v>
      </c>
      <c r="E23" t="s">
        <v>24</v>
      </c>
      <c r="F23" t="s">
        <v>23</v>
      </c>
      <c r="G23" t="s">
        <v>25</v>
      </c>
      <c r="H23" t="s">
        <v>71</v>
      </c>
      <c r="I23" t="s">
        <v>60</v>
      </c>
      <c r="J23" t="s">
        <v>61</v>
      </c>
      <c r="K23">
        <v>3</v>
      </c>
      <c r="L23" s="2">
        <v>1750</v>
      </c>
      <c r="M23" s="2">
        <v>1300</v>
      </c>
      <c r="N23" s="3">
        <v>0</v>
      </c>
      <c r="O23" s="2">
        <v>5250</v>
      </c>
      <c r="P23" s="2">
        <v>210</v>
      </c>
      <c r="Q23" s="2">
        <v>1350</v>
      </c>
      <c r="R23" s="3">
        <v>0.25714285714285712</v>
      </c>
    </row>
    <row r="24" spans="1:18" x14ac:dyDescent="0.45">
      <c r="A24" t="s">
        <v>96</v>
      </c>
      <c r="B24" s="1">
        <v>45348</v>
      </c>
      <c r="C24" t="s">
        <v>58</v>
      </c>
      <c r="D24" t="s">
        <v>281</v>
      </c>
      <c r="E24" t="s">
        <v>28</v>
      </c>
      <c r="F24" t="s">
        <v>30</v>
      </c>
      <c r="G24" t="s">
        <v>29</v>
      </c>
      <c r="H24" t="s">
        <v>59</v>
      </c>
      <c r="I24" t="s">
        <v>60</v>
      </c>
      <c r="J24" t="s">
        <v>61</v>
      </c>
      <c r="K24">
        <v>22</v>
      </c>
      <c r="L24" s="2">
        <v>210</v>
      </c>
      <c r="M24" s="2">
        <v>120</v>
      </c>
      <c r="N24" s="3">
        <v>0.2</v>
      </c>
      <c r="O24" s="2">
        <v>3696</v>
      </c>
      <c r="P24" s="2">
        <v>73.92</v>
      </c>
      <c r="Q24" s="2">
        <v>1056</v>
      </c>
      <c r="R24" s="3">
        <v>0.2857142857142857</v>
      </c>
    </row>
    <row r="25" spans="1:18" x14ac:dyDescent="0.45">
      <c r="A25" t="s">
        <v>97</v>
      </c>
      <c r="B25" s="1">
        <v>45597</v>
      </c>
      <c r="C25" t="s">
        <v>53</v>
      </c>
      <c r="D25" t="s">
        <v>280</v>
      </c>
      <c r="E25" t="s">
        <v>19</v>
      </c>
      <c r="F25" t="s">
        <v>16</v>
      </c>
      <c r="G25" t="s">
        <v>20</v>
      </c>
      <c r="H25" t="s">
        <v>71</v>
      </c>
      <c r="I25" t="s">
        <v>55</v>
      </c>
      <c r="J25" t="s">
        <v>56</v>
      </c>
      <c r="K25">
        <v>20</v>
      </c>
      <c r="L25" s="2">
        <v>180</v>
      </c>
      <c r="M25" s="2">
        <v>105</v>
      </c>
      <c r="N25" s="3">
        <v>0.15</v>
      </c>
      <c r="O25" s="2">
        <v>3060</v>
      </c>
      <c r="P25" s="2">
        <v>61.2</v>
      </c>
      <c r="Q25" s="2">
        <v>960</v>
      </c>
      <c r="R25" s="3">
        <v>0.31372549019607843</v>
      </c>
    </row>
    <row r="26" spans="1:18" x14ac:dyDescent="0.45">
      <c r="A26" t="s">
        <v>98</v>
      </c>
      <c r="B26" s="1">
        <v>45562</v>
      </c>
      <c r="C26" t="s">
        <v>80</v>
      </c>
      <c r="D26" t="s">
        <v>283</v>
      </c>
      <c r="E26" t="s">
        <v>24</v>
      </c>
      <c r="F26" t="s">
        <v>23</v>
      </c>
      <c r="G26" t="s">
        <v>25</v>
      </c>
      <c r="H26" t="s">
        <v>59</v>
      </c>
      <c r="I26" t="s">
        <v>67</v>
      </c>
      <c r="J26" t="s">
        <v>81</v>
      </c>
      <c r="K26">
        <v>22</v>
      </c>
      <c r="L26" s="2">
        <v>1750</v>
      </c>
      <c r="M26" s="2">
        <v>1300</v>
      </c>
      <c r="N26" s="3">
        <v>0.2</v>
      </c>
      <c r="O26" s="2">
        <v>30800</v>
      </c>
      <c r="P26" s="2">
        <v>1848</v>
      </c>
      <c r="Q26" s="2">
        <v>2200</v>
      </c>
      <c r="R26" s="3">
        <v>7.1428571428571425E-2</v>
      </c>
    </row>
    <row r="27" spans="1:18" x14ac:dyDescent="0.45">
      <c r="A27" t="s">
        <v>99</v>
      </c>
      <c r="B27" s="1">
        <v>45641</v>
      </c>
      <c r="C27" t="s">
        <v>66</v>
      </c>
      <c r="D27" t="s">
        <v>287</v>
      </c>
      <c r="E27" t="s">
        <v>33</v>
      </c>
      <c r="F27" t="s">
        <v>30</v>
      </c>
      <c r="G27" t="s">
        <v>34</v>
      </c>
      <c r="H27" t="s">
        <v>71</v>
      </c>
      <c r="I27" t="s">
        <v>67</v>
      </c>
      <c r="J27" t="s">
        <v>68</v>
      </c>
      <c r="K27">
        <v>25</v>
      </c>
      <c r="L27" s="2">
        <v>130</v>
      </c>
      <c r="M27" s="2">
        <v>62</v>
      </c>
      <c r="N27" s="3">
        <v>0.2</v>
      </c>
      <c r="O27" s="2">
        <v>2600</v>
      </c>
      <c r="P27" s="2">
        <v>52</v>
      </c>
      <c r="Q27" s="2">
        <v>1050</v>
      </c>
      <c r="R27" s="3">
        <v>0.40384615384615385</v>
      </c>
    </row>
    <row r="28" spans="1:18" x14ac:dyDescent="0.45">
      <c r="A28" t="s">
        <v>100</v>
      </c>
      <c r="B28" s="1">
        <v>45349</v>
      </c>
      <c r="C28" t="s">
        <v>80</v>
      </c>
      <c r="D28" t="s">
        <v>283</v>
      </c>
      <c r="E28" t="s">
        <v>19</v>
      </c>
      <c r="F28" t="s">
        <v>16</v>
      </c>
      <c r="G28" t="s">
        <v>20</v>
      </c>
      <c r="H28" t="s">
        <v>59</v>
      </c>
      <c r="I28" t="s">
        <v>67</v>
      </c>
      <c r="J28" t="s">
        <v>81</v>
      </c>
      <c r="K28">
        <v>15</v>
      </c>
      <c r="L28" s="2">
        <v>180</v>
      </c>
      <c r="M28" s="2">
        <v>105</v>
      </c>
      <c r="N28" s="3">
        <v>0.1</v>
      </c>
      <c r="O28" s="2">
        <v>2430</v>
      </c>
      <c r="P28" s="2">
        <v>48.6</v>
      </c>
      <c r="Q28" s="2">
        <v>855</v>
      </c>
      <c r="R28" s="3">
        <v>0.35185185185185186</v>
      </c>
    </row>
    <row r="29" spans="1:18" x14ac:dyDescent="0.45">
      <c r="A29" t="s">
        <v>101</v>
      </c>
      <c r="B29" s="1">
        <v>45426</v>
      </c>
      <c r="C29" t="s">
        <v>66</v>
      </c>
      <c r="D29" t="s">
        <v>287</v>
      </c>
      <c r="E29" t="s">
        <v>33</v>
      </c>
      <c r="F29" t="s">
        <v>30</v>
      </c>
      <c r="G29" t="s">
        <v>34</v>
      </c>
      <c r="H29" t="s">
        <v>59</v>
      </c>
      <c r="I29" t="s">
        <v>67</v>
      </c>
      <c r="J29" t="s">
        <v>68</v>
      </c>
      <c r="K29">
        <v>17</v>
      </c>
      <c r="L29" s="2">
        <v>130</v>
      </c>
      <c r="M29" s="2">
        <v>62</v>
      </c>
      <c r="N29" s="3">
        <v>0.15</v>
      </c>
      <c r="O29" s="2">
        <v>1878.5</v>
      </c>
      <c r="P29" s="2">
        <v>37.57</v>
      </c>
      <c r="Q29" s="2">
        <v>824.5</v>
      </c>
      <c r="R29" s="3">
        <v>0.43891402714932126</v>
      </c>
    </row>
    <row r="30" spans="1:18" x14ac:dyDescent="0.45">
      <c r="A30" t="s">
        <v>102</v>
      </c>
      <c r="B30" s="1">
        <v>45612</v>
      </c>
      <c r="C30" t="s">
        <v>80</v>
      </c>
      <c r="D30" t="s">
        <v>283</v>
      </c>
      <c r="E30" t="s">
        <v>35</v>
      </c>
      <c r="F30" t="s">
        <v>37</v>
      </c>
      <c r="G30" t="s">
        <v>36</v>
      </c>
      <c r="H30" t="s">
        <v>54</v>
      </c>
      <c r="I30" t="s">
        <v>67</v>
      </c>
      <c r="J30" t="s">
        <v>81</v>
      </c>
      <c r="K30">
        <v>17</v>
      </c>
      <c r="L30" s="2">
        <v>110</v>
      </c>
      <c r="M30" s="2">
        <v>55</v>
      </c>
      <c r="N30" s="3">
        <v>0.15</v>
      </c>
      <c r="O30" s="2">
        <v>1589.5</v>
      </c>
      <c r="P30" s="2">
        <v>31.79</v>
      </c>
      <c r="Q30" s="2">
        <v>654.5</v>
      </c>
      <c r="R30" s="3">
        <v>0.41176470588235298</v>
      </c>
    </row>
    <row r="31" spans="1:18" x14ac:dyDescent="0.45">
      <c r="A31" t="s">
        <v>103</v>
      </c>
      <c r="B31" s="1">
        <v>45370</v>
      </c>
      <c r="C31" t="s">
        <v>89</v>
      </c>
      <c r="D31" t="s">
        <v>284</v>
      </c>
      <c r="E31" t="s">
        <v>33</v>
      </c>
      <c r="F31" t="s">
        <v>30</v>
      </c>
      <c r="G31" t="s">
        <v>34</v>
      </c>
      <c r="H31" t="s">
        <v>59</v>
      </c>
      <c r="I31" t="s">
        <v>55</v>
      </c>
      <c r="J31" t="s">
        <v>90</v>
      </c>
      <c r="K31">
        <v>18</v>
      </c>
      <c r="L31" s="2">
        <v>130</v>
      </c>
      <c r="M31" s="2">
        <v>62</v>
      </c>
      <c r="N31" s="3">
        <v>0.15</v>
      </c>
      <c r="O31" s="2">
        <v>1989</v>
      </c>
      <c r="P31" s="2">
        <v>39.78</v>
      </c>
      <c r="Q31" s="2">
        <v>873</v>
      </c>
      <c r="R31" s="3">
        <v>0.43891402714932126</v>
      </c>
    </row>
    <row r="32" spans="1:18" x14ac:dyDescent="0.45">
      <c r="A32" t="s">
        <v>104</v>
      </c>
      <c r="B32" s="1">
        <v>45598</v>
      </c>
      <c r="C32" t="s">
        <v>89</v>
      </c>
      <c r="D32" t="s">
        <v>284</v>
      </c>
      <c r="E32" t="s">
        <v>21</v>
      </c>
      <c r="F32" t="s">
        <v>23</v>
      </c>
      <c r="G32" t="s">
        <v>22</v>
      </c>
      <c r="H32" t="s">
        <v>59</v>
      </c>
      <c r="I32" t="s">
        <v>55</v>
      </c>
      <c r="J32" t="s">
        <v>90</v>
      </c>
      <c r="K32">
        <v>4</v>
      </c>
      <c r="L32" s="2">
        <v>1150</v>
      </c>
      <c r="M32" s="2">
        <v>820</v>
      </c>
      <c r="N32" s="3">
        <v>0</v>
      </c>
      <c r="O32" s="2">
        <v>4600</v>
      </c>
      <c r="P32" s="2">
        <v>92</v>
      </c>
      <c r="Q32" s="2">
        <v>1320</v>
      </c>
      <c r="R32" s="3">
        <v>0.28695652173913044</v>
      </c>
    </row>
    <row r="33" spans="1:18" x14ac:dyDescent="0.45">
      <c r="A33" t="s">
        <v>105</v>
      </c>
      <c r="B33" s="1">
        <v>45449</v>
      </c>
      <c r="C33" t="s">
        <v>73</v>
      </c>
      <c r="D33" t="s">
        <v>282</v>
      </c>
      <c r="E33" t="s">
        <v>5</v>
      </c>
      <c r="F33" t="s">
        <v>7</v>
      </c>
      <c r="G33" t="s">
        <v>6</v>
      </c>
      <c r="H33" t="s">
        <v>59</v>
      </c>
      <c r="I33" t="s">
        <v>67</v>
      </c>
      <c r="J33" t="s">
        <v>74</v>
      </c>
      <c r="K33">
        <v>19</v>
      </c>
      <c r="L33" s="2">
        <v>25</v>
      </c>
      <c r="M33" s="2">
        <v>11</v>
      </c>
      <c r="N33" s="3">
        <v>0.15</v>
      </c>
      <c r="O33" s="2">
        <v>403.75</v>
      </c>
      <c r="P33" s="2">
        <v>8.0749999999999993</v>
      </c>
      <c r="Q33" s="2">
        <v>194.75</v>
      </c>
      <c r="R33" s="3">
        <v>0.4823529411764706</v>
      </c>
    </row>
    <row r="34" spans="1:18" x14ac:dyDescent="0.45">
      <c r="A34" t="s">
        <v>106</v>
      </c>
      <c r="B34" s="1">
        <v>45335</v>
      </c>
      <c r="C34" t="s">
        <v>77</v>
      </c>
      <c r="D34" t="s">
        <v>286</v>
      </c>
      <c r="E34" t="s">
        <v>35</v>
      </c>
      <c r="F34" t="s">
        <v>37</v>
      </c>
      <c r="G34" t="s">
        <v>36</v>
      </c>
      <c r="H34" t="s">
        <v>59</v>
      </c>
      <c r="I34" t="s">
        <v>60</v>
      </c>
      <c r="J34" t="s">
        <v>78</v>
      </c>
      <c r="K34">
        <v>25</v>
      </c>
      <c r="L34" s="2">
        <v>110</v>
      </c>
      <c r="M34" s="2">
        <v>55</v>
      </c>
      <c r="N34" s="3">
        <v>0.2</v>
      </c>
      <c r="O34" s="2">
        <v>2200</v>
      </c>
      <c r="P34" s="2">
        <v>44</v>
      </c>
      <c r="Q34" s="2">
        <v>825</v>
      </c>
      <c r="R34" s="3">
        <v>0.375</v>
      </c>
    </row>
    <row r="35" spans="1:18" x14ac:dyDescent="0.45">
      <c r="A35" t="s">
        <v>107</v>
      </c>
      <c r="B35" s="1">
        <v>45357</v>
      </c>
      <c r="C35" t="s">
        <v>77</v>
      </c>
      <c r="D35" t="s">
        <v>286</v>
      </c>
      <c r="E35" t="s">
        <v>24</v>
      </c>
      <c r="F35" t="s">
        <v>23</v>
      </c>
      <c r="G35" t="s">
        <v>25</v>
      </c>
      <c r="H35" t="s">
        <v>59</v>
      </c>
      <c r="I35" t="s">
        <v>60</v>
      </c>
      <c r="J35" t="s">
        <v>78</v>
      </c>
      <c r="K35">
        <v>9</v>
      </c>
      <c r="L35" s="2">
        <v>1750</v>
      </c>
      <c r="M35" s="2">
        <v>1300</v>
      </c>
      <c r="N35" s="3">
        <v>0.05</v>
      </c>
      <c r="O35" s="2">
        <v>14962.5</v>
      </c>
      <c r="P35" s="2">
        <v>598.5</v>
      </c>
      <c r="Q35" s="2">
        <v>3262.5</v>
      </c>
      <c r="R35" s="3">
        <v>0.21804511278195488</v>
      </c>
    </row>
    <row r="36" spans="1:18" x14ac:dyDescent="0.45">
      <c r="A36" t="s">
        <v>108</v>
      </c>
      <c r="B36" s="1">
        <v>45400</v>
      </c>
      <c r="C36" t="s">
        <v>66</v>
      </c>
      <c r="D36" t="s">
        <v>287</v>
      </c>
      <c r="E36" t="s">
        <v>33</v>
      </c>
      <c r="F36" t="s">
        <v>30</v>
      </c>
      <c r="G36" t="s">
        <v>34</v>
      </c>
      <c r="H36" t="s">
        <v>54</v>
      </c>
      <c r="I36" t="s">
        <v>67</v>
      </c>
      <c r="J36" t="s">
        <v>68</v>
      </c>
      <c r="K36">
        <v>23</v>
      </c>
      <c r="L36" s="2">
        <v>130</v>
      </c>
      <c r="M36" s="2">
        <v>62</v>
      </c>
      <c r="N36" s="3">
        <v>0.2</v>
      </c>
      <c r="O36" s="2">
        <v>2392</v>
      </c>
      <c r="P36" s="2">
        <v>47.84</v>
      </c>
      <c r="Q36" s="2">
        <v>966</v>
      </c>
      <c r="R36" s="3">
        <v>0.40384615384615385</v>
      </c>
    </row>
    <row r="37" spans="1:18" x14ac:dyDescent="0.45">
      <c r="A37" t="s">
        <v>109</v>
      </c>
      <c r="B37" s="1">
        <v>45657</v>
      </c>
      <c r="C37" t="s">
        <v>80</v>
      </c>
      <c r="D37" t="s">
        <v>283</v>
      </c>
      <c r="E37" t="s">
        <v>19</v>
      </c>
      <c r="F37" t="s">
        <v>16</v>
      </c>
      <c r="G37" t="s">
        <v>20</v>
      </c>
      <c r="H37" t="s">
        <v>54</v>
      </c>
      <c r="I37" t="s">
        <v>67</v>
      </c>
      <c r="J37" t="s">
        <v>81</v>
      </c>
      <c r="K37">
        <v>21</v>
      </c>
      <c r="L37" s="2">
        <v>180</v>
      </c>
      <c r="M37" s="2">
        <v>105</v>
      </c>
      <c r="N37" s="3">
        <v>0.2</v>
      </c>
      <c r="O37" s="2">
        <v>3024</v>
      </c>
      <c r="P37" s="2">
        <v>60.48</v>
      </c>
      <c r="Q37" s="2">
        <v>819</v>
      </c>
      <c r="R37" s="3">
        <v>0.27083333333333331</v>
      </c>
    </row>
    <row r="38" spans="1:18" x14ac:dyDescent="0.45">
      <c r="A38" t="s">
        <v>110</v>
      </c>
      <c r="B38" s="1">
        <v>45516</v>
      </c>
      <c r="C38" t="s">
        <v>66</v>
      </c>
      <c r="D38" t="s">
        <v>287</v>
      </c>
      <c r="E38" t="s">
        <v>21</v>
      </c>
      <c r="F38" t="s">
        <v>23</v>
      </c>
      <c r="G38" t="s">
        <v>22</v>
      </c>
      <c r="H38" t="s">
        <v>59</v>
      </c>
      <c r="I38" t="s">
        <v>67</v>
      </c>
      <c r="J38" t="s">
        <v>68</v>
      </c>
      <c r="K38">
        <v>8</v>
      </c>
      <c r="L38" s="2">
        <v>1150</v>
      </c>
      <c r="M38" s="2">
        <v>820</v>
      </c>
      <c r="N38" s="3">
        <v>0.05</v>
      </c>
      <c r="O38" s="2">
        <v>8740</v>
      </c>
      <c r="P38" s="2">
        <v>349.6</v>
      </c>
      <c r="Q38" s="2">
        <v>2180</v>
      </c>
      <c r="R38" s="3">
        <v>0.2494279176201373</v>
      </c>
    </row>
    <row r="39" spans="1:18" x14ac:dyDescent="0.45">
      <c r="A39" t="s">
        <v>111</v>
      </c>
      <c r="B39" s="1">
        <v>45324</v>
      </c>
      <c r="C39" t="s">
        <v>89</v>
      </c>
      <c r="D39" t="s">
        <v>284</v>
      </c>
      <c r="E39" t="s">
        <v>5</v>
      </c>
      <c r="F39" t="s">
        <v>7</v>
      </c>
      <c r="G39" t="s">
        <v>6</v>
      </c>
      <c r="H39" t="s">
        <v>54</v>
      </c>
      <c r="I39" t="s">
        <v>55</v>
      </c>
      <c r="J39" t="s">
        <v>90</v>
      </c>
      <c r="K39">
        <v>18</v>
      </c>
      <c r="L39" s="2">
        <v>25</v>
      </c>
      <c r="M39" s="2">
        <v>11</v>
      </c>
      <c r="N39" s="3">
        <v>0.15</v>
      </c>
      <c r="O39" s="2">
        <v>382.5</v>
      </c>
      <c r="P39" s="2">
        <v>7.65</v>
      </c>
      <c r="Q39" s="2">
        <v>184.5</v>
      </c>
      <c r="R39" s="3">
        <v>0.4823529411764706</v>
      </c>
    </row>
    <row r="40" spans="1:18" x14ac:dyDescent="0.45">
      <c r="A40" t="s">
        <v>112</v>
      </c>
      <c r="B40" s="1">
        <v>45593</v>
      </c>
      <c r="C40" t="s">
        <v>73</v>
      </c>
      <c r="D40" t="s">
        <v>282</v>
      </c>
      <c r="E40" t="s">
        <v>5</v>
      </c>
      <c r="F40" t="s">
        <v>7</v>
      </c>
      <c r="G40" t="s">
        <v>6</v>
      </c>
      <c r="H40" t="s">
        <v>59</v>
      </c>
      <c r="I40" t="s">
        <v>67</v>
      </c>
      <c r="J40" t="s">
        <v>74</v>
      </c>
      <c r="K40">
        <v>23</v>
      </c>
      <c r="L40" s="2">
        <v>25</v>
      </c>
      <c r="M40" s="2">
        <v>11</v>
      </c>
      <c r="N40" s="3">
        <v>0.2</v>
      </c>
      <c r="O40" s="2">
        <v>460</v>
      </c>
      <c r="P40" s="2">
        <v>9.1999999999999993</v>
      </c>
      <c r="Q40" s="2">
        <v>207</v>
      </c>
      <c r="R40" s="3">
        <v>0.45</v>
      </c>
    </row>
    <row r="41" spans="1:18" x14ac:dyDescent="0.45">
      <c r="A41" t="s">
        <v>113</v>
      </c>
      <c r="B41" s="1">
        <v>45409</v>
      </c>
      <c r="C41" t="s">
        <v>53</v>
      </c>
      <c r="D41" t="s">
        <v>280</v>
      </c>
      <c r="E41" t="s">
        <v>38</v>
      </c>
      <c r="F41" t="s">
        <v>37</v>
      </c>
      <c r="G41" t="s">
        <v>39</v>
      </c>
      <c r="H41" t="s">
        <v>59</v>
      </c>
      <c r="I41" t="s">
        <v>55</v>
      </c>
      <c r="J41" t="s">
        <v>56</v>
      </c>
      <c r="K41">
        <v>11</v>
      </c>
      <c r="L41" s="2">
        <v>160</v>
      </c>
      <c r="M41" s="2">
        <v>88</v>
      </c>
      <c r="N41" s="3">
        <v>0.1</v>
      </c>
      <c r="O41" s="2">
        <v>1584</v>
      </c>
      <c r="P41" s="2">
        <v>31.68</v>
      </c>
      <c r="Q41" s="2">
        <v>616</v>
      </c>
      <c r="R41" s="3">
        <v>0.3888888888888889</v>
      </c>
    </row>
    <row r="42" spans="1:18" x14ac:dyDescent="0.45">
      <c r="A42" t="s">
        <v>114</v>
      </c>
      <c r="B42" s="1">
        <v>45555</v>
      </c>
      <c r="C42" t="s">
        <v>73</v>
      </c>
      <c r="D42" t="s">
        <v>282</v>
      </c>
      <c r="E42" t="s">
        <v>14</v>
      </c>
      <c r="F42" t="s">
        <v>16</v>
      </c>
      <c r="G42" t="s">
        <v>15</v>
      </c>
      <c r="H42" t="s">
        <v>54</v>
      </c>
      <c r="I42" t="s">
        <v>67</v>
      </c>
      <c r="J42" t="s">
        <v>74</v>
      </c>
      <c r="K42">
        <v>16</v>
      </c>
      <c r="L42" s="2">
        <v>240</v>
      </c>
      <c r="M42" s="2">
        <v>150</v>
      </c>
      <c r="N42" s="3">
        <v>0.15</v>
      </c>
      <c r="O42" s="2">
        <v>3264</v>
      </c>
      <c r="P42" s="2">
        <v>65.28</v>
      </c>
      <c r="Q42" s="2">
        <v>864</v>
      </c>
      <c r="R42" s="3">
        <v>0.26470588235294118</v>
      </c>
    </row>
    <row r="43" spans="1:18" x14ac:dyDescent="0.45">
      <c r="A43" t="s">
        <v>115</v>
      </c>
      <c r="B43" s="1">
        <v>45568</v>
      </c>
      <c r="C43" t="s">
        <v>58</v>
      </c>
      <c r="D43" t="s">
        <v>281</v>
      </c>
      <c r="E43" t="s">
        <v>31</v>
      </c>
      <c r="F43" t="s">
        <v>30</v>
      </c>
      <c r="G43" t="s">
        <v>32</v>
      </c>
      <c r="H43" t="s">
        <v>54</v>
      </c>
      <c r="I43" t="s">
        <v>60</v>
      </c>
      <c r="J43" t="s">
        <v>61</v>
      </c>
      <c r="K43">
        <v>19</v>
      </c>
      <c r="L43" s="2">
        <v>95</v>
      </c>
      <c r="M43" s="2">
        <v>44</v>
      </c>
      <c r="N43" s="3">
        <v>0.15</v>
      </c>
      <c r="O43" s="2">
        <v>1534.25</v>
      </c>
      <c r="P43" s="2">
        <v>30.684999999999999</v>
      </c>
      <c r="Q43" s="2">
        <v>698.25</v>
      </c>
      <c r="R43" s="3">
        <v>0.45510835913312686</v>
      </c>
    </row>
    <row r="44" spans="1:18" x14ac:dyDescent="0.45">
      <c r="A44" t="s">
        <v>116</v>
      </c>
      <c r="B44" s="1">
        <v>45416</v>
      </c>
      <c r="C44" t="s">
        <v>77</v>
      </c>
      <c r="D44" t="s">
        <v>286</v>
      </c>
      <c r="E44" t="s">
        <v>33</v>
      </c>
      <c r="F44" t="s">
        <v>30</v>
      </c>
      <c r="G44" t="s">
        <v>34</v>
      </c>
      <c r="H44" t="s">
        <v>71</v>
      </c>
      <c r="I44" t="s">
        <v>60</v>
      </c>
      <c r="J44" t="s">
        <v>78</v>
      </c>
      <c r="K44">
        <v>7</v>
      </c>
      <c r="L44" s="2">
        <v>130</v>
      </c>
      <c r="M44" s="2">
        <v>62</v>
      </c>
      <c r="N44" s="3">
        <v>0.05</v>
      </c>
      <c r="O44" s="2">
        <v>864.5</v>
      </c>
      <c r="P44" s="2">
        <v>17.29</v>
      </c>
      <c r="Q44" s="2">
        <v>430.5</v>
      </c>
      <c r="R44" s="3">
        <v>0.49797570850202422</v>
      </c>
    </row>
    <row r="45" spans="1:18" x14ac:dyDescent="0.45">
      <c r="A45" t="s">
        <v>117</v>
      </c>
      <c r="B45" s="1">
        <v>45341</v>
      </c>
      <c r="C45" t="s">
        <v>63</v>
      </c>
      <c r="D45" t="s">
        <v>285</v>
      </c>
      <c r="E45" t="s">
        <v>17</v>
      </c>
      <c r="F45" t="s">
        <v>16</v>
      </c>
      <c r="G45" t="s">
        <v>18</v>
      </c>
      <c r="H45" t="s">
        <v>71</v>
      </c>
      <c r="I45" t="s">
        <v>55</v>
      </c>
      <c r="J45" t="s">
        <v>64</v>
      </c>
      <c r="K45">
        <v>14</v>
      </c>
      <c r="L45" s="2">
        <v>520</v>
      </c>
      <c r="M45" s="2">
        <v>360</v>
      </c>
      <c r="N45" s="3">
        <v>0.1</v>
      </c>
      <c r="O45" s="2">
        <v>6552</v>
      </c>
      <c r="P45" s="2">
        <v>262.08</v>
      </c>
      <c r="Q45" s="2">
        <v>1512</v>
      </c>
      <c r="R45" s="3">
        <v>0.23076923076923081</v>
      </c>
    </row>
    <row r="46" spans="1:18" x14ac:dyDescent="0.45">
      <c r="A46" t="s">
        <v>118</v>
      </c>
      <c r="B46" s="1">
        <v>45319</v>
      </c>
      <c r="C46" t="s">
        <v>53</v>
      </c>
      <c r="D46" t="s">
        <v>280</v>
      </c>
      <c r="E46" t="s">
        <v>5</v>
      </c>
      <c r="F46" t="s">
        <v>7</v>
      </c>
      <c r="G46" t="s">
        <v>6</v>
      </c>
      <c r="H46" t="s">
        <v>71</v>
      </c>
      <c r="I46" t="s">
        <v>55</v>
      </c>
      <c r="J46" t="s">
        <v>56</v>
      </c>
      <c r="K46">
        <v>24</v>
      </c>
      <c r="L46" s="2">
        <v>25</v>
      </c>
      <c r="M46" s="2">
        <v>11</v>
      </c>
      <c r="N46" s="3">
        <v>0.2</v>
      </c>
      <c r="O46" s="2">
        <v>480</v>
      </c>
      <c r="P46" s="2">
        <v>9.6</v>
      </c>
      <c r="Q46" s="2">
        <v>216</v>
      </c>
      <c r="R46" s="3">
        <v>0.45</v>
      </c>
    </row>
    <row r="47" spans="1:18" x14ac:dyDescent="0.45">
      <c r="A47" t="s">
        <v>119</v>
      </c>
      <c r="B47" s="1">
        <v>45347</v>
      </c>
      <c r="C47" t="s">
        <v>73</v>
      </c>
      <c r="D47" t="s">
        <v>282</v>
      </c>
      <c r="E47" t="s">
        <v>12</v>
      </c>
      <c r="F47" t="s">
        <v>7</v>
      </c>
      <c r="G47" t="s">
        <v>13</v>
      </c>
      <c r="H47" t="s">
        <v>59</v>
      </c>
      <c r="I47" t="s">
        <v>67</v>
      </c>
      <c r="J47" t="s">
        <v>74</v>
      </c>
      <c r="K47">
        <v>18</v>
      </c>
      <c r="L47" s="2">
        <v>35</v>
      </c>
      <c r="M47" s="2">
        <v>14</v>
      </c>
      <c r="N47" s="3">
        <v>0.15</v>
      </c>
      <c r="O47" s="2">
        <v>535.5</v>
      </c>
      <c r="P47" s="2">
        <v>10.71</v>
      </c>
      <c r="Q47" s="2">
        <v>283.5</v>
      </c>
      <c r="R47" s="3">
        <v>0.52941176470588236</v>
      </c>
    </row>
    <row r="48" spans="1:18" x14ac:dyDescent="0.45">
      <c r="A48" t="s">
        <v>120</v>
      </c>
      <c r="B48" s="1">
        <v>45363</v>
      </c>
      <c r="C48" t="s">
        <v>63</v>
      </c>
      <c r="D48" t="s">
        <v>285</v>
      </c>
      <c r="E48" t="s">
        <v>10</v>
      </c>
      <c r="F48" t="s">
        <v>7</v>
      </c>
      <c r="G48" t="s">
        <v>11</v>
      </c>
      <c r="H48" t="s">
        <v>71</v>
      </c>
      <c r="I48" t="s">
        <v>55</v>
      </c>
      <c r="J48" t="s">
        <v>64</v>
      </c>
      <c r="K48">
        <v>15</v>
      </c>
      <c r="L48" s="2">
        <v>45</v>
      </c>
      <c r="M48" s="2">
        <v>19</v>
      </c>
      <c r="N48" s="3">
        <v>0.1</v>
      </c>
      <c r="O48" s="2">
        <v>607.5</v>
      </c>
      <c r="P48" s="2">
        <v>12.15</v>
      </c>
      <c r="Q48" s="2">
        <v>322.5</v>
      </c>
      <c r="R48" s="3">
        <v>0.53086419753086422</v>
      </c>
    </row>
    <row r="49" spans="1:18" x14ac:dyDescent="0.45">
      <c r="A49" t="s">
        <v>121</v>
      </c>
      <c r="B49" s="1">
        <v>45330</v>
      </c>
      <c r="C49" t="s">
        <v>77</v>
      </c>
      <c r="D49" t="s">
        <v>286</v>
      </c>
      <c r="E49" t="s">
        <v>33</v>
      </c>
      <c r="F49" t="s">
        <v>30</v>
      </c>
      <c r="G49" t="s">
        <v>34</v>
      </c>
      <c r="H49" t="s">
        <v>54</v>
      </c>
      <c r="I49" t="s">
        <v>60</v>
      </c>
      <c r="J49" t="s">
        <v>78</v>
      </c>
      <c r="K49">
        <v>4</v>
      </c>
      <c r="L49" s="2">
        <v>130</v>
      </c>
      <c r="M49" s="2">
        <v>62</v>
      </c>
      <c r="N49" s="3">
        <v>0</v>
      </c>
      <c r="O49" s="2">
        <v>520</v>
      </c>
      <c r="P49" s="2">
        <v>10.4</v>
      </c>
      <c r="Q49" s="2">
        <v>272</v>
      </c>
      <c r="R49" s="3">
        <v>0.52307692307692311</v>
      </c>
    </row>
    <row r="50" spans="1:18" x14ac:dyDescent="0.45">
      <c r="A50" t="s">
        <v>122</v>
      </c>
      <c r="B50" s="1">
        <v>45625</v>
      </c>
      <c r="C50" t="s">
        <v>66</v>
      </c>
      <c r="D50" t="s">
        <v>287</v>
      </c>
      <c r="E50" t="s">
        <v>35</v>
      </c>
      <c r="F50" t="s">
        <v>37</v>
      </c>
      <c r="G50" t="s">
        <v>36</v>
      </c>
      <c r="H50" t="s">
        <v>59</v>
      </c>
      <c r="I50" t="s">
        <v>67</v>
      </c>
      <c r="J50" t="s">
        <v>68</v>
      </c>
      <c r="K50">
        <v>3</v>
      </c>
      <c r="L50" s="2">
        <v>110</v>
      </c>
      <c r="M50" s="2">
        <v>55</v>
      </c>
      <c r="N50" s="3">
        <v>0</v>
      </c>
      <c r="O50" s="2">
        <v>330</v>
      </c>
      <c r="P50" s="2">
        <v>6.6</v>
      </c>
      <c r="Q50" s="2">
        <v>165</v>
      </c>
      <c r="R50" s="3">
        <v>0.5</v>
      </c>
    </row>
    <row r="51" spans="1:18" x14ac:dyDescent="0.45">
      <c r="A51" t="s">
        <v>123</v>
      </c>
      <c r="B51" s="1">
        <v>45377</v>
      </c>
      <c r="C51" t="s">
        <v>63</v>
      </c>
      <c r="D51" t="s">
        <v>285</v>
      </c>
      <c r="E51" t="s">
        <v>21</v>
      </c>
      <c r="F51" t="s">
        <v>23</v>
      </c>
      <c r="G51" t="s">
        <v>22</v>
      </c>
      <c r="H51" t="s">
        <v>71</v>
      </c>
      <c r="I51" t="s">
        <v>55</v>
      </c>
      <c r="J51" t="s">
        <v>64</v>
      </c>
      <c r="K51">
        <v>7</v>
      </c>
      <c r="L51" s="2">
        <v>1150</v>
      </c>
      <c r="M51" s="2">
        <v>820</v>
      </c>
      <c r="N51" s="3">
        <v>0.05</v>
      </c>
      <c r="O51" s="2">
        <v>7647.5</v>
      </c>
      <c r="P51" s="2">
        <v>305.89999999999998</v>
      </c>
      <c r="Q51" s="2">
        <v>1907.5</v>
      </c>
      <c r="R51" s="3">
        <v>0.2494279176201373</v>
      </c>
    </row>
    <row r="52" spans="1:18" x14ac:dyDescent="0.45">
      <c r="A52" t="s">
        <v>124</v>
      </c>
      <c r="B52" s="1">
        <v>45322</v>
      </c>
      <c r="C52" t="s">
        <v>58</v>
      </c>
      <c r="D52" t="s">
        <v>281</v>
      </c>
      <c r="E52" t="s">
        <v>19</v>
      </c>
      <c r="F52" t="s">
        <v>16</v>
      </c>
      <c r="G52" t="s">
        <v>20</v>
      </c>
      <c r="H52" t="s">
        <v>59</v>
      </c>
      <c r="I52" t="s">
        <v>60</v>
      </c>
      <c r="J52" t="s">
        <v>61</v>
      </c>
      <c r="K52">
        <v>13</v>
      </c>
      <c r="L52" s="2">
        <v>180</v>
      </c>
      <c r="M52" s="2">
        <v>105</v>
      </c>
      <c r="N52" s="3">
        <v>0.1</v>
      </c>
      <c r="O52" s="2">
        <v>2106</v>
      </c>
      <c r="P52" s="2">
        <v>42.12</v>
      </c>
      <c r="Q52" s="2">
        <v>741</v>
      </c>
      <c r="R52" s="3">
        <v>0.35185185185185186</v>
      </c>
    </row>
    <row r="53" spans="1:18" x14ac:dyDescent="0.45">
      <c r="A53" t="s">
        <v>125</v>
      </c>
      <c r="B53" s="1">
        <v>45524</v>
      </c>
      <c r="C53" t="s">
        <v>80</v>
      </c>
      <c r="D53" t="s">
        <v>283</v>
      </c>
      <c r="E53" t="s">
        <v>19</v>
      </c>
      <c r="F53" t="s">
        <v>16</v>
      </c>
      <c r="G53" t="s">
        <v>20</v>
      </c>
      <c r="H53" t="s">
        <v>54</v>
      </c>
      <c r="I53" t="s">
        <v>67</v>
      </c>
      <c r="J53" t="s">
        <v>81</v>
      </c>
      <c r="K53">
        <v>24</v>
      </c>
      <c r="L53" s="2">
        <v>180</v>
      </c>
      <c r="M53" s="2">
        <v>105</v>
      </c>
      <c r="N53" s="3">
        <v>0.2</v>
      </c>
      <c r="O53" s="2">
        <v>3456</v>
      </c>
      <c r="P53" s="2">
        <v>69.12</v>
      </c>
      <c r="Q53" s="2">
        <v>936</v>
      </c>
      <c r="R53" s="3">
        <v>0.27083333333333331</v>
      </c>
    </row>
    <row r="54" spans="1:18" x14ac:dyDescent="0.45">
      <c r="A54" t="s">
        <v>126</v>
      </c>
      <c r="B54" s="1">
        <v>45371</v>
      </c>
      <c r="C54" t="s">
        <v>73</v>
      </c>
      <c r="D54" t="s">
        <v>282</v>
      </c>
      <c r="E54" t="s">
        <v>14</v>
      </c>
      <c r="F54" t="s">
        <v>16</v>
      </c>
      <c r="G54" t="s">
        <v>15</v>
      </c>
      <c r="H54" t="s">
        <v>59</v>
      </c>
      <c r="I54" t="s">
        <v>67</v>
      </c>
      <c r="J54" t="s">
        <v>74</v>
      </c>
      <c r="K54">
        <v>2</v>
      </c>
      <c r="L54" s="2">
        <v>240</v>
      </c>
      <c r="M54" s="2">
        <v>150</v>
      </c>
      <c r="N54" s="3">
        <v>0</v>
      </c>
      <c r="O54" s="2">
        <v>480</v>
      </c>
      <c r="P54" s="2">
        <v>9.6</v>
      </c>
      <c r="Q54" s="2">
        <v>180</v>
      </c>
      <c r="R54" s="3">
        <v>0.375</v>
      </c>
    </row>
    <row r="55" spans="1:18" x14ac:dyDescent="0.45">
      <c r="A55" t="s">
        <v>127</v>
      </c>
      <c r="B55" s="1">
        <v>45452</v>
      </c>
      <c r="C55" t="s">
        <v>128</v>
      </c>
      <c r="D55" t="s">
        <v>279</v>
      </c>
      <c r="E55" t="s">
        <v>5</v>
      </c>
      <c r="F55" t="s">
        <v>7</v>
      </c>
      <c r="G55" t="s">
        <v>6</v>
      </c>
      <c r="H55" t="s">
        <v>54</v>
      </c>
      <c r="I55" t="s">
        <v>55</v>
      </c>
      <c r="J55" t="s">
        <v>129</v>
      </c>
      <c r="K55">
        <v>16</v>
      </c>
      <c r="L55" s="2">
        <v>25</v>
      </c>
      <c r="M55" s="2">
        <v>11</v>
      </c>
      <c r="N55" s="3">
        <v>0.15</v>
      </c>
      <c r="O55" s="2">
        <v>340</v>
      </c>
      <c r="P55" s="2">
        <v>6.8</v>
      </c>
      <c r="Q55" s="2">
        <v>164</v>
      </c>
      <c r="R55" s="3">
        <v>0.4823529411764706</v>
      </c>
    </row>
    <row r="56" spans="1:18" x14ac:dyDescent="0.45">
      <c r="A56" t="s">
        <v>130</v>
      </c>
      <c r="B56" s="1">
        <v>45321</v>
      </c>
      <c r="C56" t="s">
        <v>66</v>
      </c>
      <c r="D56" t="s">
        <v>287</v>
      </c>
      <c r="E56" t="s">
        <v>8</v>
      </c>
      <c r="F56" t="s">
        <v>7</v>
      </c>
      <c r="G56" t="s">
        <v>9</v>
      </c>
      <c r="H56" t="s">
        <v>59</v>
      </c>
      <c r="I56" t="s">
        <v>67</v>
      </c>
      <c r="J56" t="s">
        <v>68</v>
      </c>
      <c r="K56">
        <v>3</v>
      </c>
      <c r="L56" s="2">
        <v>79</v>
      </c>
      <c r="M56" s="2">
        <v>38</v>
      </c>
      <c r="N56" s="3">
        <v>0</v>
      </c>
      <c r="O56" s="2">
        <v>237</v>
      </c>
      <c r="P56" s="2">
        <v>4.74</v>
      </c>
      <c r="Q56" s="2">
        <v>123</v>
      </c>
      <c r="R56" s="3">
        <v>0.51898734177215189</v>
      </c>
    </row>
    <row r="57" spans="1:18" x14ac:dyDescent="0.45">
      <c r="A57" t="s">
        <v>131</v>
      </c>
      <c r="B57" s="1">
        <v>45637</v>
      </c>
      <c r="C57" t="s">
        <v>73</v>
      </c>
      <c r="D57" t="s">
        <v>282</v>
      </c>
      <c r="E57" t="s">
        <v>19</v>
      </c>
      <c r="F57" t="s">
        <v>16</v>
      </c>
      <c r="G57" t="s">
        <v>20</v>
      </c>
      <c r="H57" t="s">
        <v>59</v>
      </c>
      <c r="I57" t="s">
        <v>67</v>
      </c>
      <c r="J57" t="s">
        <v>74</v>
      </c>
      <c r="K57">
        <v>19</v>
      </c>
      <c r="L57" s="2">
        <v>180</v>
      </c>
      <c r="M57" s="2">
        <v>105</v>
      </c>
      <c r="N57" s="3">
        <v>0.15</v>
      </c>
      <c r="O57" s="2">
        <v>2907</v>
      </c>
      <c r="P57" s="2">
        <v>58.14</v>
      </c>
      <c r="Q57" s="2">
        <v>912</v>
      </c>
      <c r="R57" s="3">
        <v>0.31372549019607843</v>
      </c>
    </row>
    <row r="58" spans="1:18" x14ac:dyDescent="0.45">
      <c r="A58" t="s">
        <v>132</v>
      </c>
      <c r="B58" s="1">
        <v>45588</v>
      </c>
      <c r="C58" t="s">
        <v>133</v>
      </c>
      <c r="D58" t="s">
        <v>288</v>
      </c>
      <c r="E58" t="s">
        <v>5</v>
      </c>
      <c r="F58" t="s">
        <v>7</v>
      </c>
      <c r="G58" t="s">
        <v>6</v>
      </c>
      <c r="H58" t="s">
        <v>54</v>
      </c>
      <c r="I58" t="s">
        <v>67</v>
      </c>
      <c r="J58" t="s">
        <v>134</v>
      </c>
      <c r="K58">
        <v>3</v>
      </c>
      <c r="L58" s="2">
        <v>25</v>
      </c>
      <c r="M58" s="2">
        <v>11</v>
      </c>
      <c r="N58" s="3">
        <v>0</v>
      </c>
      <c r="O58" s="2">
        <v>75</v>
      </c>
      <c r="P58" s="2">
        <v>1.5</v>
      </c>
      <c r="Q58" s="2">
        <v>42</v>
      </c>
      <c r="R58" s="3">
        <v>0.56000000000000005</v>
      </c>
    </row>
    <row r="59" spans="1:18" x14ac:dyDescent="0.45">
      <c r="A59" t="s">
        <v>135</v>
      </c>
      <c r="B59" s="1">
        <v>45628</v>
      </c>
      <c r="C59" t="s">
        <v>133</v>
      </c>
      <c r="D59" t="s">
        <v>288</v>
      </c>
      <c r="E59" t="s">
        <v>26</v>
      </c>
      <c r="F59" t="s">
        <v>23</v>
      </c>
      <c r="G59" t="s">
        <v>27</v>
      </c>
      <c r="H59" t="s">
        <v>54</v>
      </c>
      <c r="I59" t="s">
        <v>67</v>
      </c>
      <c r="J59" t="s">
        <v>134</v>
      </c>
      <c r="K59">
        <v>11</v>
      </c>
      <c r="L59" s="2">
        <v>1050</v>
      </c>
      <c r="M59" s="2">
        <v>760</v>
      </c>
      <c r="N59" s="3">
        <v>0.1</v>
      </c>
      <c r="O59" s="2">
        <v>10395</v>
      </c>
      <c r="P59" s="2">
        <v>415.8</v>
      </c>
      <c r="Q59" s="2">
        <v>2035</v>
      </c>
      <c r="R59" s="3">
        <v>0.19576719576719576</v>
      </c>
    </row>
    <row r="60" spans="1:18" x14ac:dyDescent="0.45">
      <c r="A60" t="s">
        <v>136</v>
      </c>
      <c r="B60" s="1">
        <v>45396</v>
      </c>
      <c r="C60" t="s">
        <v>89</v>
      </c>
      <c r="D60" t="s">
        <v>284</v>
      </c>
      <c r="E60" t="s">
        <v>12</v>
      </c>
      <c r="F60" t="s">
        <v>7</v>
      </c>
      <c r="G60" t="s">
        <v>13</v>
      </c>
      <c r="H60" t="s">
        <v>71</v>
      </c>
      <c r="I60" t="s">
        <v>55</v>
      </c>
      <c r="J60" t="s">
        <v>90</v>
      </c>
      <c r="K60">
        <v>13</v>
      </c>
      <c r="L60" s="2">
        <v>35</v>
      </c>
      <c r="M60" s="2">
        <v>14</v>
      </c>
      <c r="N60" s="3">
        <v>0.1</v>
      </c>
      <c r="O60" s="2">
        <v>409.5</v>
      </c>
      <c r="P60" s="2">
        <v>8.19</v>
      </c>
      <c r="Q60" s="2">
        <v>227.5</v>
      </c>
      <c r="R60" s="3">
        <v>0.55555555555555558</v>
      </c>
    </row>
    <row r="61" spans="1:18" x14ac:dyDescent="0.45">
      <c r="A61" t="s">
        <v>137</v>
      </c>
      <c r="B61" s="1">
        <v>45635</v>
      </c>
      <c r="C61" t="s">
        <v>80</v>
      </c>
      <c r="D61" t="s">
        <v>283</v>
      </c>
      <c r="E61" t="s">
        <v>21</v>
      </c>
      <c r="F61" t="s">
        <v>23</v>
      </c>
      <c r="G61" t="s">
        <v>22</v>
      </c>
      <c r="H61" t="s">
        <v>71</v>
      </c>
      <c r="I61" t="s">
        <v>67</v>
      </c>
      <c r="J61" t="s">
        <v>81</v>
      </c>
      <c r="K61">
        <v>25</v>
      </c>
      <c r="L61" s="2">
        <v>1150</v>
      </c>
      <c r="M61" s="2">
        <v>820</v>
      </c>
      <c r="N61" s="3">
        <v>0.2</v>
      </c>
      <c r="O61" s="2">
        <v>23000</v>
      </c>
      <c r="P61" s="2">
        <v>1380</v>
      </c>
      <c r="Q61" s="2">
        <v>2500</v>
      </c>
      <c r="R61" s="3">
        <v>0.10869565217391304</v>
      </c>
    </row>
    <row r="62" spans="1:18" x14ac:dyDescent="0.45">
      <c r="A62" t="s">
        <v>138</v>
      </c>
      <c r="B62" s="1">
        <v>45296</v>
      </c>
      <c r="C62" t="s">
        <v>77</v>
      </c>
      <c r="D62" t="s">
        <v>286</v>
      </c>
      <c r="E62" t="s">
        <v>26</v>
      </c>
      <c r="F62" t="s">
        <v>23</v>
      </c>
      <c r="G62" t="s">
        <v>27</v>
      </c>
      <c r="H62" t="s">
        <v>54</v>
      </c>
      <c r="I62" t="s">
        <v>60</v>
      </c>
      <c r="J62" t="s">
        <v>78</v>
      </c>
      <c r="K62">
        <v>4</v>
      </c>
      <c r="L62" s="2">
        <v>1050</v>
      </c>
      <c r="M62" s="2">
        <v>760</v>
      </c>
      <c r="N62" s="3">
        <v>0</v>
      </c>
      <c r="O62" s="2">
        <v>4200</v>
      </c>
      <c r="P62" s="2">
        <v>84</v>
      </c>
      <c r="Q62" s="2">
        <v>1160</v>
      </c>
      <c r="R62" s="3">
        <v>0.27619047619047621</v>
      </c>
    </row>
    <row r="63" spans="1:18" x14ac:dyDescent="0.45">
      <c r="A63" t="s">
        <v>139</v>
      </c>
      <c r="B63" s="1">
        <v>45567</v>
      </c>
      <c r="C63" t="s">
        <v>73</v>
      </c>
      <c r="D63" t="s">
        <v>282</v>
      </c>
      <c r="E63" t="s">
        <v>24</v>
      </c>
      <c r="F63" t="s">
        <v>23</v>
      </c>
      <c r="G63" t="s">
        <v>25</v>
      </c>
      <c r="H63" t="s">
        <v>71</v>
      </c>
      <c r="I63" t="s">
        <v>67</v>
      </c>
      <c r="J63" t="s">
        <v>74</v>
      </c>
      <c r="K63">
        <v>5</v>
      </c>
      <c r="L63" s="2">
        <v>1750</v>
      </c>
      <c r="M63" s="2">
        <v>1300</v>
      </c>
      <c r="N63" s="3">
        <v>0</v>
      </c>
      <c r="O63" s="2">
        <v>8750</v>
      </c>
      <c r="P63" s="2">
        <v>350</v>
      </c>
      <c r="Q63" s="2">
        <v>2250</v>
      </c>
      <c r="R63" s="3">
        <v>0.25714285714285712</v>
      </c>
    </row>
    <row r="64" spans="1:18" x14ac:dyDescent="0.45">
      <c r="A64" t="s">
        <v>140</v>
      </c>
      <c r="B64" s="1">
        <v>45327</v>
      </c>
      <c r="C64" t="s">
        <v>73</v>
      </c>
      <c r="D64" t="s">
        <v>282</v>
      </c>
      <c r="E64" t="s">
        <v>17</v>
      </c>
      <c r="F64" t="s">
        <v>16</v>
      </c>
      <c r="G64" t="s">
        <v>18</v>
      </c>
      <c r="H64" t="s">
        <v>71</v>
      </c>
      <c r="I64" t="s">
        <v>67</v>
      </c>
      <c r="J64" t="s">
        <v>74</v>
      </c>
      <c r="K64">
        <v>6</v>
      </c>
      <c r="L64" s="2">
        <v>520</v>
      </c>
      <c r="M64" s="2">
        <v>360</v>
      </c>
      <c r="N64" s="3">
        <v>0.05</v>
      </c>
      <c r="O64" s="2">
        <v>2964</v>
      </c>
      <c r="P64" s="2">
        <v>59.28</v>
      </c>
      <c r="Q64" s="2">
        <v>804</v>
      </c>
      <c r="R64" s="3">
        <v>0.27125506072874495</v>
      </c>
    </row>
    <row r="65" spans="1:18" x14ac:dyDescent="0.45">
      <c r="A65" t="s">
        <v>141</v>
      </c>
      <c r="B65" s="1">
        <v>45570</v>
      </c>
      <c r="C65" t="s">
        <v>80</v>
      </c>
      <c r="D65" t="s">
        <v>283</v>
      </c>
      <c r="E65" t="s">
        <v>26</v>
      </c>
      <c r="F65" t="s">
        <v>23</v>
      </c>
      <c r="G65" t="s">
        <v>27</v>
      </c>
      <c r="H65" t="s">
        <v>54</v>
      </c>
      <c r="I65" t="s">
        <v>67</v>
      </c>
      <c r="J65" t="s">
        <v>81</v>
      </c>
      <c r="K65">
        <v>17</v>
      </c>
      <c r="L65" s="2">
        <v>1050</v>
      </c>
      <c r="M65" s="2">
        <v>760</v>
      </c>
      <c r="N65" s="3">
        <v>0.15</v>
      </c>
      <c r="O65" s="2">
        <v>15172.5</v>
      </c>
      <c r="P65" s="2">
        <v>910.35</v>
      </c>
      <c r="Q65" s="2">
        <v>2252.5</v>
      </c>
      <c r="R65" s="3">
        <v>0.1484593837535014</v>
      </c>
    </row>
    <row r="66" spans="1:18" x14ac:dyDescent="0.45">
      <c r="A66" t="s">
        <v>142</v>
      </c>
      <c r="B66" s="1">
        <v>45633</v>
      </c>
      <c r="C66" t="s">
        <v>66</v>
      </c>
      <c r="D66" t="s">
        <v>287</v>
      </c>
      <c r="E66" t="s">
        <v>14</v>
      </c>
      <c r="F66" t="s">
        <v>16</v>
      </c>
      <c r="G66" t="s">
        <v>15</v>
      </c>
      <c r="H66" t="s">
        <v>54</v>
      </c>
      <c r="I66" t="s">
        <v>67</v>
      </c>
      <c r="J66" t="s">
        <v>68</v>
      </c>
      <c r="K66">
        <v>4</v>
      </c>
      <c r="L66" s="2">
        <v>240</v>
      </c>
      <c r="M66" s="2">
        <v>150</v>
      </c>
      <c r="N66" s="3">
        <v>0</v>
      </c>
      <c r="O66" s="2">
        <v>960</v>
      </c>
      <c r="P66" s="2">
        <v>19.2</v>
      </c>
      <c r="Q66" s="2">
        <v>360</v>
      </c>
      <c r="R66" s="3">
        <v>0.375</v>
      </c>
    </row>
    <row r="67" spans="1:18" x14ac:dyDescent="0.45">
      <c r="A67" t="s">
        <v>143</v>
      </c>
      <c r="B67" s="1">
        <v>45427</v>
      </c>
      <c r="C67" t="s">
        <v>53</v>
      </c>
      <c r="D67" t="s">
        <v>280</v>
      </c>
      <c r="E67" t="s">
        <v>38</v>
      </c>
      <c r="F67" t="s">
        <v>37</v>
      </c>
      <c r="G67" t="s">
        <v>39</v>
      </c>
      <c r="H67" t="s">
        <v>59</v>
      </c>
      <c r="I67" t="s">
        <v>55</v>
      </c>
      <c r="J67" t="s">
        <v>56</v>
      </c>
      <c r="K67">
        <v>24</v>
      </c>
      <c r="L67" s="2">
        <v>160</v>
      </c>
      <c r="M67" s="2">
        <v>88</v>
      </c>
      <c r="N67" s="3">
        <v>0.2</v>
      </c>
      <c r="O67" s="2">
        <v>3072</v>
      </c>
      <c r="P67" s="2">
        <v>61.44</v>
      </c>
      <c r="Q67" s="2">
        <v>960</v>
      </c>
      <c r="R67" s="3">
        <v>0.3125</v>
      </c>
    </row>
    <row r="68" spans="1:18" x14ac:dyDescent="0.45">
      <c r="A68" t="s">
        <v>144</v>
      </c>
      <c r="B68" s="1">
        <v>45431</v>
      </c>
      <c r="C68" t="s">
        <v>80</v>
      </c>
      <c r="D68" t="s">
        <v>283</v>
      </c>
      <c r="E68" t="s">
        <v>26</v>
      </c>
      <c r="F68" t="s">
        <v>23</v>
      </c>
      <c r="G68" t="s">
        <v>27</v>
      </c>
      <c r="H68" t="s">
        <v>59</v>
      </c>
      <c r="I68" t="s">
        <v>67</v>
      </c>
      <c r="J68" t="s">
        <v>81</v>
      </c>
      <c r="K68">
        <v>23</v>
      </c>
      <c r="L68" s="2">
        <v>1050</v>
      </c>
      <c r="M68" s="2">
        <v>760</v>
      </c>
      <c r="N68" s="3">
        <v>0.2</v>
      </c>
      <c r="O68" s="2">
        <v>19320</v>
      </c>
      <c r="P68" s="2">
        <v>1159.2</v>
      </c>
      <c r="Q68" s="2">
        <v>1840</v>
      </c>
      <c r="R68" s="3">
        <v>9.5238095238095233E-2</v>
      </c>
    </row>
    <row r="69" spans="1:18" x14ac:dyDescent="0.45">
      <c r="A69" t="s">
        <v>145</v>
      </c>
      <c r="B69" s="1">
        <v>45396</v>
      </c>
      <c r="C69" t="s">
        <v>80</v>
      </c>
      <c r="D69" t="s">
        <v>283</v>
      </c>
      <c r="E69" t="s">
        <v>24</v>
      </c>
      <c r="F69" t="s">
        <v>23</v>
      </c>
      <c r="G69" t="s">
        <v>25</v>
      </c>
      <c r="H69" t="s">
        <v>71</v>
      </c>
      <c r="I69" t="s">
        <v>67</v>
      </c>
      <c r="J69" t="s">
        <v>81</v>
      </c>
      <c r="K69">
        <v>9</v>
      </c>
      <c r="L69" s="2">
        <v>1750</v>
      </c>
      <c r="M69" s="2">
        <v>1300</v>
      </c>
      <c r="N69" s="3">
        <v>0.05</v>
      </c>
      <c r="O69" s="2">
        <v>14962.5</v>
      </c>
      <c r="P69" s="2">
        <v>598.5</v>
      </c>
      <c r="Q69" s="2">
        <v>3262.5</v>
      </c>
      <c r="R69" s="3">
        <v>0.21804511278195488</v>
      </c>
    </row>
    <row r="70" spans="1:18" x14ac:dyDescent="0.45">
      <c r="A70" t="s">
        <v>146</v>
      </c>
      <c r="B70" s="1">
        <v>45339</v>
      </c>
      <c r="C70" t="s">
        <v>63</v>
      </c>
      <c r="D70" t="s">
        <v>285</v>
      </c>
      <c r="E70" t="s">
        <v>35</v>
      </c>
      <c r="F70" t="s">
        <v>37</v>
      </c>
      <c r="G70" t="s">
        <v>36</v>
      </c>
      <c r="H70" t="s">
        <v>71</v>
      </c>
      <c r="I70" t="s">
        <v>55</v>
      </c>
      <c r="J70" t="s">
        <v>64</v>
      </c>
      <c r="K70">
        <v>2</v>
      </c>
      <c r="L70" s="2">
        <v>110</v>
      </c>
      <c r="M70" s="2">
        <v>55</v>
      </c>
      <c r="N70" s="3">
        <v>0</v>
      </c>
      <c r="O70" s="2">
        <v>220</v>
      </c>
      <c r="P70" s="2">
        <v>4.4000000000000004</v>
      </c>
      <c r="Q70" s="2">
        <v>110</v>
      </c>
      <c r="R70" s="3">
        <v>0.5</v>
      </c>
    </row>
    <row r="71" spans="1:18" x14ac:dyDescent="0.45">
      <c r="A71" t="s">
        <v>147</v>
      </c>
      <c r="B71" s="1">
        <v>45462</v>
      </c>
      <c r="C71" t="s">
        <v>58</v>
      </c>
      <c r="D71" t="s">
        <v>281</v>
      </c>
      <c r="E71" t="s">
        <v>28</v>
      </c>
      <c r="F71" t="s">
        <v>30</v>
      </c>
      <c r="G71" t="s">
        <v>29</v>
      </c>
      <c r="H71" t="s">
        <v>71</v>
      </c>
      <c r="I71" t="s">
        <v>60</v>
      </c>
      <c r="J71" t="s">
        <v>61</v>
      </c>
      <c r="K71">
        <v>6</v>
      </c>
      <c r="L71" s="2">
        <v>210</v>
      </c>
      <c r="M71" s="2">
        <v>120</v>
      </c>
      <c r="N71" s="3">
        <v>0.05</v>
      </c>
      <c r="O71" s="2">
        <v>1197</v>
      </c>
      <c r="P71" s="2">
        <v>23.94</v>
      </c>
      <c r="Q71" s="2">
        <v>477</v>
      </c>
      <c r="R71" s="3">
        <v>0.39849624060150374</v>
      </c>
    </row>
    <row r="72" spans="1:18" x14ac:dyDescent="0.45">
      <c r="A72" t="s">
        <v>148</v>
      </c>
      <c r="B72" s="1">
        <v>45574</v>
      </c>
      <c r="C72" t="s">
        <v>63</v>
      </c>
      <c r="D72" t="s">
        <v>285</v>
      </c>
      <c r="E72" t="s">
        <v>24</v>
      </c>
      <c r="F72" t="s">
        <v>23</v>
      </c>
      <c r="G72" t="s">
        <v>25</v>
      </c>
      <c r="H72" t="s">
        <v>59</v>
      </c>
      <c r="I72" t="s">
        <v>55</v>
      </c>
      <c r="J72" t="s">
        <v>64</v>
      </c>
      <c r="K72">
        <v>4</v>
      </c>
      <c r="L72" s="2">
        <v>1750</v>
      </c>
      <c r="M72" s="2">
        <v>1300</v>
      </c>
      <c r="N72" s="3">
        <v>0</v>
      </c>
      <c r="O72" s="2">
        <v>7000</v>
      </c>
      <c r="P72" s="2">
        <v>280</v>
      </c>
      <c r="Q72" s="2">
        <v>1800</v>
      </c>
      <c r="R72" s="3">
        <v>0.25714285714285712</v>
      </c>
    </row>
    <row r="73" spans="1:18" x14ac:dyDescent="0.45">
      <c r="A73" t="s">
        <v>149</v>
      </c>
      <c r="B73" s="1">
        <v>45645</v>
      </c>
      <c r="C73" t="s">
        <v>58</v>
      </c>
      <c r="D73" t="s">
        <v>281</v>
      </c>
      <c r="E73" t="s">
        <v>24</v>
      </c>
      <c r="F73" t="s">
        <v>23</v>
      </c>
      <c r="G73" t="s">
        <v>25</v>
      </c>
      <c r="H73" t="s">
        <v>59</v>
      </c>
      <c r="I73" t="s">
        <v>60</v>
      </c>
      <c r="J73" t="s">
        <v>61</v>
      </c>
      <c r="K73">
        <v>12</v>
      </c>
      <c r="L73" s="2">
        <v>1750</v>
      </c>
      <c r="M73" s="2">
        <v>1300</v>
      </c>
      <c r="N73" s="3">
        <v>0.1</v>
      </c>
      <c r="O73" s="2">
        <v>18900</v>
      </c>
      <c r="P73" s="2">
        <v>1134</v>
      </c>
      <c r="Q73" s="2">
        <v>3300</v>
      </c>
      <c r="R73" s="3">
        <v>0.17460317460317459</v>
      </c>
    </row>
    <row r="74" spans="1:18" x14ac:dyDescent="0.45">
      <c r="A74" t="s">
        <v>150</v>
      </c>
      <c r="B74" s="1">
        <v>45512</v>
      </c>
      <c r="C74" t="s">
        <v>58</v>
      </c>
      <c r="D74" t="s">
        <v>281</v>
      </c>
      <c r="E74" t="s">
        <v>5</v>
      </c>
      <c r="F74" t="s">
        <v>7</v>
      </c>
      <c r="G74" t="s">
        <v>6</v>
      </c>
      <c r="H74" t="s">
        <v>71</v>
      </c>
      <c r="I74" t="s">
        <v>60</v>
      </c>
      <c r="J74" t="s">
        <v>61</v>
      </c>
      <c r="K74">
        <v>12</v>
      </c>
      <c r="L74" s="2">
        <v>25</v>
      </c>
      <c r="M74" s="2">
        <v>11</v>
      </c>
      <c r="N74" s="3">
        <v>0.1</v>
      </c>
      <c r="O74" s="2">
        <v>270</v>
      </c>
      <c r="P74" s="2">
        <v>5.4</v>
      </c>
      <c r="Q74" s="2">
        <v>138</v>
      </c>
      <c r="R74" s="3">
        <v>0.51111111111111107</v>
      </c>
    </row>
    <row r="75" spans="1:18" x14ac:dyDescent="0.45">
      <c r="A75" t="s">
        <v>151</v>
      </c>
      <c r="B75" s="1">
        <v>45475</v>
      </c>
      <c r="C75" t="s">
        <v>73</v>
      </c>
      <c r="D75" t="s">
        <v>282</v>
      </c>
      <c r="E75" t="s">
        <v>28</v>
      </c>
      <c r="F75" t="s">
        <v>30</v>
      </c>
      <c r="G75" t="s">
        <v>29</v>
      </c>
      <c r="H75" t="s">
        <v>59</v>
      </c>
      <c r="I75" t="s">
        <v>67</v>
      </c>
      <c r="J75" t="s">
        <v>74</v>
      </c>
      <c r="K75">
        <v>22</v>
      </c>
      <c r="L75" s="2">
        <v>210</v>
      </c>
      <c r="M75" s="2">
        <v>120</v>
      </c>
      <c r="N75" s="3">
        <v>0.2</v>
      </c>
      <c r="O75" s="2">
        <v>3696</v>
      </c>
      <c r="P75" s="2">
        <v>73.92</v>
      </c>
      <c r="Q75" s="2">
        <v>1056</v>
      </c>
      <c r="R75" s="3">
        <v>0.2857142857142857</v>
      </c>
    </row>
    <row r="76" spans="1:18" x14ac:dyDescent="0.45">
      <c r="A76" t="s">
        <v>152</v>
      </c>
      <c r="B76" s="1">
        <v>45473</v>
      </c>
      <c r="C76" t="s">
        <v>66</v>
      </c>
      <c r="D76" t="s">
        <v>287</v>
      </c>
      <c r="E76" t="s">
        <v>38</v>
      </c>
      <c r="F76" t="s">
        <v>37</v>
      </c>
      <c r="G76" t="s">
        <v>39</v>
      </c>
      <c r="H76" t="s">
        <v>71</v>
      </c>
      <c r="I76" t="s">
        <v>67</v>
      </c>
      <c r="J76" t="s">
        <v>68</v>
      </c>
      <c r="K76">
        <v>20</v>
      </c>
      <c r="L76" s="2">
        <v>160</v>
      </c>
      <c r="M76" s="2">
        <v>88</v>
      </c>
      <c r="N76" s="3">
        <v>0.15</v>
      </c>
      <c r="O76" s="2">
        <v>2720</v>
      </c>
      <c r="P76" s="2">
        <v>54.4</v>
      </c>
      <c r="Q76" s="2">
        <v>960</v>
      </c>
      <c r="R76" s="3">
        <v>0.35294117647058826</v>
      </c>
    </row>
    <row r="77" spans="1:18" x14ac:dyDescent="0.45">
      <c r="A77" t="s">
        <v>153</v>
      </c>
      <c r="B77" s="1">
        <v>45413</v>
      </c>
      <c r="C77" t="s">
        <v>58</v>
      </c>
      <c r="D77" t="s">
        <v>281</v>
      </c>
      <c r="E77" t="s">
        <v>33</v>
      </c>
      <c r="F77" t="s">
        <v>30</v>
      </c>
      <c r="G77" t="s">
        <v>34</v>
      </c>
      <c r="H77" t="s">
        <v>59</v>
      </c>
      <c r="I77" t="s">
        <v>60</v>
      </c>
      <c r="J77" t="s">
        <v>61</v>
      </c>
      <c r="K77">
        <v>14</v>
      </c>
      <c r="L77" s="2">
        <v>130</v>
      </c>
      <c r="M77" s="2">
        <v>62</v>
      </c>
      <c r="N77" s="3">
        <v>0.1</v>
      </c>
      <c r="O77" s="2">
        <v>1638</v>
      </c>
      <c r="P77" s="2">
        <v>32.76</v>
      </c>
      <c r="Q77" s="2">
        <v>770</v>
      </c>
      <c r="R77" s="3">
        <v>0.47008547008547008</v>
      </c>
    </row>
    <row r="78" spans="1:18" x14ac:dyDescent="0.45">
      <c r="A78" t="s">
        <v>154</v>
      </c>
      <c r="B78" s="1">
        <v>45383</v>
      </c>
      <c r="C78" t="s">
        <v>89</v>
      </c>
      <c r="D78" t="s">
        <v>284</v>
      </c>
      <c r="E78" t="s">
        <v>33</v>
      </c>
      <c r="F78" t="s">
        <v>30</v>
      </c>
      <c r="G78" t="s">
        <v>34</v>
      </c>
      <c r="H78" t="s">
        <v>71</v>
      </c>
      <c r="I78" t="s">
        <v>55</v>
      </c>
      <c r="J78" t="s">
        <v>90</v>
      </c>
      <c r="K78">
        <v>22</v>
      </c>
      <c r="L78" s="2">
        <v>130</v>
      </c>
      <c r="M78" s="2">
        <v>62</v>
      </c>
      <c r="N78" s="3">
        <v>0.2</v>
      </c>
      <c r="O78" s="2">
        <v>2288</v>
      </c>
      <c r="P78" s="2">
        <v>45.76</v>
      </c>
      <c r="Q78" s="2">
        <v>924</v>
      </c>
      <c r="R78" s="3">
        <v>0.40384615384615385</v>
      </c>
    </row>
    <row r="79" spans="1:18" x14ac:dyDescent="0.45">
      <c r="A79" t="s">
        <v>155</v>
      </c>
      <c r="B79" s="1">
        <v>45428</v>
      </c>
      <c r="C79" t="s">
        <v>58</v>
      </c>
      <c r="D79" t="s">
        <v>281</v>
      </c>
      <c r="E79" t="s">
        <v>33</v>
      </c>
      <c r="F79" t="s">
        <v>30</v>
      </c>
      <c r="G79" t="s">
        <v>34</v>
      </c>
      <c r="H79" t="s">
        <v>54</v>
      </c>
      <c r="I79" t="s">
        <v>60</v>
      </c>
      <c r="J79" t="s">
        <v>61</v>
      </c>
      <c r="K79">
        <v>4</v>
      </c>
      <c r="L79" s="2">
        <v>130</v>
      </c>
      <c r="M79" s="2">
        <v>62</v>
      </c>
      <c r="N79" s="3">
        <v>0</v>
      </c>
      <c r="O79" s="2">
        <v>520</v>
      </c>
      <c r="P79" s="2">
        <v>10.4</v>
      </c>
      <c r="Q79" s="2">
        <v>272</v>
      </c>
      <c r="R79" s="3">
        <v>0.52307692307692311</v>
      </c>
    </row>
    <row r="80" spans="1:18" x14ac:dyDescent="0.45">
      <c r="A80" t="s">
        <v>156</v>
      </c>
      <c r="B80" s="1">
        <v>45311</v>
      </c>
      <c r="C80" t="s">
        <v>77</v>
      </c>
      <c r="D80" t="s">
        <v>286</v>
      </c>
      <c r="E80" t="s">
        <v>12</v>
      </c>
      <c r="F80" t="s">
        <v>7</v>
      </c>
      <c r="G80" t="s">
        <v>13</v>
      </c>
      <c r="H80" t="s">
        <v>59</v>
      </c>
      <c r="I80" t="s">
        <v>60</v>
      </c>
      <c r="J80" t="s">
        <v>78</v>
      </c>
      <c r="K80">
        <v>15</v>
      </c>
      <c r="L80" s="2">
        <v>35</v>
      </c>
      <c r="M80" s="2">
        <v>14</v>
      </c>
      <c r="N80" s="3">
        <v>0.1</v>
      </c>
      <c r="O80" s="2">
        <v>472.5</v>
      </c>
      <c r="P80" s="2">
        <v>9.4499999999999993</v>
      </c>
      <c r="Q80" s="2">
        <v>262.5</v>
      </c>
      <c r="R80" s="3">
        <v>0.55555555555555558</v>
      </c>
    </row>
    <row r="81" spans="1:18" x14ac:dyDescent="0.45">
      <c r="A81" t="s">
        <v>157</v>
      </c>
      <c r="B81" s="1">
        <v>45448</v>
      </c>
      <c r="C81" t="s">
        <v>73</v>
      </c>
      <c r="D81" t="s">
        <v>282</v>
      </c>
      <c r="E81" t="s">
        <v>12</v>
      </c>
      <c r="F81" t="s">
        <v>7</v>
      </c>
      <c r="G81" t="s">
        <v>13</v>
      </c>
      <c r="H81" t="s">
        <v>59</v>
      </c>
      <c r="I81" t="s">
        <v>67</v>
      </c>
      <c r="J81" t="s">
        <v>74</v>
      </c>
      <c r="K81">
        <v>22</v>
      </c>
      <c r="L81" s="2">
        <v>35</v>
      </c>
      <c r="M81" s="2">
        <v>14</v>
      </c>
      <c r="N81" s="3">
        <v>0.2</v>
      </c>
      <c r="O81" s="2">
        <v>616</v>
      </c>
      <c r="P81" s="2">
        <v>12.32</v>
      </c>
      <c r="Q81" s="2">
        <v>308</v>
      </c>
      <c r="R81" s="3">
        <v>0.5</v>
      </c>
    </row>
    <row r="82" spans="1:18" x14ac:dyDescent="0.45">
      <c r="A82" t="s">
        <v>158</v>
      </c>
      <c r="B82" s="1">
        <v>45496</v>
      </c>
      <c r="C82" t="s">
        <v>89</v>
      </c>
      <c r="D82" t="s">
        <v>284</v>
      </c>
      <c r="E82" t="s">
        <v>14</v>
      </c>
      <c r="F82" t="s">
        <v>16</v>
      </c>
      <c r="G82" t="s">
        <v>15</v>
      </c>
      <c r="H82" t="s">
        <v>59</v>
      </c>
      <c r="I82" t="s">
        <v>55</v>
      </c>
      <c r="J82" t="s">
        <v>90</v>
      </c>
      <c r="K82">
        <v>25</v>
      </c>
      <c r="L82" s="2">
        <v>240</v>
      </c>
      <c r="M82" s="2">
        <v>150</v>
      </c>
      <c r="N82" s="3">
        <v>0.2</v>
      </c>
      <c r="O82" s="2">
        <v>4800</v>
      </c>
      <c r="P82" s="2">
        <v>96</v>
      </c>
      <c r="Q82" s="2">
        <v>1050</v>
      </c>
      <c r="R82" s="3">
        <v>0.21875</v>
      </c>
    </row>
    <row r="83" spans="1:18" x14ac:dyDescent="0.45">
      <c r="A83" t="s">
        <v>159</v>
      </c>
      <c r="B83" s="1">
        <v>45471</v>
      </c>
      <c r="C83" t="s">
        <v>66</v>
      </c>
      <c r="D83" t="s">
        <v>287</v>
      </c>
      <c r="E83" t="s">
        <v>19</v>
      </c>
      <c r="F83" t="s">
        <v>16</v>
      </c>
      <c r="G83" t="s">
        <v>20</v>
      </c>
      <c r="H83" t="s">
        <v>54</v>
      </c>
      <c r="I83" t="s">
        <v>67</v>
      </c>
      <c r="J83" t="s">
        <v>68</v>
      </c>
      <c r="K83">
        <v>18</v>
      </c>
      <c r="L83" s="2">
        <v>180</v>
      </c>
      <c r="M83" s="2">
        <v>105</v>
      </c>
      <c r="N83" s="3">
        <v>0.15</v>
      </c>
      <c r="O83" s="2">
        <v>2754</v>
      </c>
      <c r="P83" s="2">
        <v>55.08</v>
      </c>
      <c r="Q83" s="2">
        <v>864</v>
      </c>
      <c r="R83" s="3">
        <v>0.31372549019607843</v>
      </c>
    </row>
    <row r="84" spans="1:18" x14ac:dyDescent="0.45">
      <c r="A84" t="s">
        <v>160</v>
      </c>
      <c r="B84" s="1">
        <v>45306</v>
      </c>
      <c r="C84" t="s">
        <v>53</v>
      </c>
      <c r="D84" t="s">
        <v>280</v>
      </c>
      <c r="E84" t="s">
        <v>38</v>
      </c>
      <c r="F84" t="s">
        <v>37</v>
      </c>
      <c r="G84" t="s">
        <v>39</v>
      </c>
      <c r="H84" t="s">
        <v>71</v>
      </c>
      <c r="I84" t="s">
        <v>55</v>
      </c>
      <c r="J84" t="s">
        <v>56</v>
      </c>
      <c r="K84">
        <v>6</v>
      </c>
      <c r="L84" s="2">
        <v>160</v>
      </c>
      <c r="M84" s="2">
        <v>88</v>
      </c>
      <c r="N84" s="3">
        <v>0.05</v>
      </c>
      <c r="O84" s="2">
        <v>912</v>
      </c>
      <c r="P84" s="2">
        <v>18.239999999999998</v>
      </c>
      <c r="Q84" s="2">
        <v>384</v>
      </c>
      <c r="R84" s="3">
        <v>0.42105263157894735</v>
      </c>
    </row>
    <row r="85" spans="1:18" x14ac:dyDescent="0.45">
      <c r="A85" t="s">
        <v>161</v>
      </c>
      <c r="B85" s="1">
        <v>45311</v>
      </c>
      <c r="C85" t="s">
        <v>53</v>
      </c>
      <c r="D85" t="s">
        <v>280</v>
      </c>
      <c r="E85" t="s">
        <v>26</v>
      </c>
      <c r="F85" t="s">
        <v>23</v>
      </c>
      <c r="G85" t="s">
        <v>27</v>
      </c>
      <c r="H85" t="s">
        <v>71</v>
      </c>
      <c r="I85" t="s">
        <v>55</v>
      </c>
      <c r="J85" t="s">
        <v>56</v>
      </c>
      <c r="K85">
        <v>12</v>
      </c>
      <c r="L85" s="2">
        <v>1050</v>
      </c>
      <c r="M85" s="2">
        <v>760</v>
      </c>
      <c r="N85" s="3">
        <v>0.1</v>
      </c>
      <c r="O85" s="2">
        <v>11340</v>
      </c>
      <c r="P85" s="2">
        <v>453.6</v>
      </c>
      <c r="Q85" s="2">
        <v>2220</v>
      </c>
      <c r="R85" s="3">
        <v>0.19576719576719576</v>
      </c>
    </row>
    <row r="86" spans="1:18" x14ac:dyDescent="0.45">
      <c r="A86" t="s">
        <v>162</v>
      </c>
      <c r="B86" s="1">
        <v>45515</v>
      </c>
      <c r="C86" t="s">
        <v>133</v>
      </c>
      <c r="D86" t="s">
        <v>288</v>
      </c>
      <c r="E86" t="s">
        <v>24</v>
      </c>
      <c r="F86" t="s">
        <v>23</v>
      </c>
      <c r="G86" t="s">
        <v>25</v>
      </c>
      <c r="H86" t="s">
        <v>59</v>
      </c>
      <c r="I86" t="s">
        <v>67</v>
      </c>
      <c r="J86" t="s">
        <v>134</v>
      </c>
      <c r="K86">
        <v>13</v>
      </c>
      <c r="L86" s="2">
        <v>1750</v>
      </c>
      <c r="M86" s="2">
        <v>1300</v>
      </c>
      <c r="N86" s="3">
        <v>0.1</v>
      </c>
      <c r="O86" s="2">
        <v>20475</v>
      </c>
      <c r="P86" s="2">
        <v>1228.5</v>
      </c>
      <c r="Q86" s="2">
        <v>3575</v>
      </c>
      <c r="R86" s="3">
        <v>0.17460317460317459</v>
      </c>
    </row>
    <row r="87" spans="1:18" x14ac:dyDescent="0.45">
      <c r="A87" t="s">
        <v>163</v>
      </c>
      <c r="B87" s="1">
        <v>45422</v>
      </c>
      <c r="C87" t="s">
        <v>128</v>
      </c>
      <c r="D87" t="s">
        <v>279</v>
      </c>
      <c r="E87" t="s">
        <v>31</v>
      </c>
      <c r="F87" t="s">
        <v>30</v>
      </c>
      <c r="G87" t="s">
        <v>32</v>
      </c>
      <c r="H87" t="s">
        <v>71</v>
      </c>
      <c r="I87" t="s">
        <v>55</v>
      </c>
      <c r="J87" t="s">
        <v>129</v>
      </c>
      <c r="K87">
        <v>1</v>
      </c>
      <c r="L87" s="2">
        <v>95</v>
      </c>
      <c r="M87" s="2">
        <v>44</v>
      </c>
      <c r="N87" s="3">
        <v>0</v>
      </c>
      <c r="O87" s="2">
        <v>95</v>
      </c>
      <c r="P87" s="2">
        <v>1.9</v>
      </c>
      <c r="Q87" s="2">
        <v>51</v>
      </c>
      <c r="R87" s="3">
        <v>0.5368421052631579</v>
      </c>
    </row>
    <row r="88" spans="1:18" x14ac:dyDescent="0.45">
      <c r="A88" t="s">
        <v>164</v>
      </c>
      <c r="B88" s="1">
        <v>45478</v>
      </c>
      <c r="C88" t="s">
        <v>63</v>
      </c>
      <c r="D88" t="s">
        <v>285</v>
      </c>
      <c r="E88" t="s">
        <v>8</v>
      </c>
      <c r="F88" t="s">
        <v>7</v>
      </c>
      <c r="G88" t="s">
        <v>9</v>
      </c>
      <c r="H88" t="s">
        <v>54</v>
      </c>
      <c r="I88" t="s">
        <v>55</v>
      </c>
      <c r="J88" t="s">
        <v>64</v>
      </c>
      <c r="K88">
        <v>11</v>
      </c>
      <c r="L88" s="2">
        <v>79</v>
      </c>
      <c r="M88" s="2">
        <v>38</v>
      </c>
      <c r="N88" s="3">
        <v>0.1</v>
      </c>
      <c r="O88" s="2">
        <v>782.1</v>
      </c>
      <c r="P88" s="2">
        <v>15.641999999999999</v>
      </c>
      <c r="Q88" s="2">
        <v>364.1</v>
      </c>
      <c r="R88" s="3">
        <v>0.46554149085794655</v>
      </c>
    </row>
    <row r="89" spans="1:18" x14ac:dyDescent="0.45">
      <c r="A89" t="s">
        <v>165</v>
      </c>
      <c r="B89" s="1">
        <v>45631</v>
      </c>
      <c r="C89" t="s">
        <v>53</v>
      </c>
      <c r="D89" t="s">
        <v>280</v>
      </c>
      <c r="E89" t="s">
        <v>31</v>
      </c>
      <c r="F89" t="s">
        <v>30</v>
      </c>
      <c r="G89" t="s">
        <v>32</v>
      </c>
      <c r="H89" t="s">
        <v>71</v>
      </c>
      <c r="I89" t="s">
        <v>55</v>
      </c>
      <c r="J89" t="s">
        <v>56</v>
      </c>
      <c r="K89">
        <v>17</v>
      </c>
      <c r="L89" s="2">
        <v>95</v>
      </c>
      <c r="M89" s="2">
        <v>44</v>
      </c>
      <c r="N89" s="3">
        <v>0.15</v>
      </c>
      <c r="O89" s="2">
        <v>1372.75</v>
      </c>
      <c r="P89" s="2">
        <v>27.454999999999998</v>
      </c>
      <c r="Q89" s="2">
        <v>624.75</v>
      </c>
      <c r="R89" s="3">
        <v>0.45510835913312686</v>
      </c>
    </row>
    <row r="90" spans="1:18" x14ac:dyDescent="0.45">
      <c r="A90" t="s">
        <v>166</v>
      </c>
      <c r="B90" s="1">
        <v>45633</v>
      </c>
      <c r="C90" t="s">
        <v>63</v>
      </c>
      <c r="D90" t="s">
        <v>285</v>
      </c>
      <c r="E90" t="s">
        <v>17</v>
      </c>
      <c r="F90" t="s">
        <v>16</v>
      </c>
      <c r="G90" t="s">
        <v>18</v>
      </c>
      <c r="H90" t="s">
        <v>71</v>
      </c>
      <c r="I90" t="s">
        <v>55</v>
      </c>
      <c r="J90" t="s">
        <v>64</v>
      </c>
      <c r="K90">
        <v>23</v>
      </c>
      <c r="L90" s="2">
        <v>520</v>
      </c>
      <c r="M90" s="2">
        <v>360</v>
      </c>
      <c r="N90" s="3">
        <v>0.2</v>
      </c>
      <c r="O90" s="2">
        <v>9568</v>
      </c>
      <c r="P90" s="2">
        <v>382.72</v>
      </c>
      <c r="Q90" s="2">
        <v>1288</v>
      </c>
      <c r="R90" s="3">
        <v>0.13461538461538461</v>
      </c>
    </row>
    <row r="91" spans="1:18" x14ac:dyDescent="0.45">
      <c r="A91" t="s">
        <v>167</v>
      </c>
      <c r="B91" s="1">
        <v>45575</v>
      </c>
      <c r="C91" t="s">
        <v>58</v>
      </c>
      <c r="D91" t="s">
        <v>281</v>
      </c>
      <c r="E91" t="s">
        <v>12</v>
      </c>
      <c r="F91" t="s">
        <v>7</v>
      </c>
      <c r="G91" t="s">
        <v>13</v>
      </c>
      <c r="H91" t="s">
        <v>71</v>
      </c>
      <c r="I91" t="s">
        <v>60</v>
      </c>
      <c r="J91" t="s">
        <v>61</v>
      </c>
      <c r="K91">
        <v>22</v>
      </c>
      <c r="L91" s="2">
        <v>35</v>
      </c>
      <c r="M91" s="2">
        <v>14</v>
      </c>
      <c r="N91" s="3">
        <v>0.2</v>
      </c>
      <c r="O91" s="2">
        <v>616</v>
      </c>
      <c r="P91" s="2">
        <v>12.32</v>
      </c>
      <c r="Q91" s="2">
        <v>308</v>
      </c>
      <c r="R91" s="3">
        <v>0.5</v>
      </c>
    </row>
    <row r="92" spans="1:18" x14ac:dyDescent="0.45">
      <c r="A92" t="s">
        <v>168</v>
      </c>
      <c r="B92" s="1">
        <v>45638</v>
      </c>
      <c r="C92" t="s">
        <v>58</v>
      </c>
      <c r="D92" t="s">
        <v>281</v>
      </c>
      <c r="E92" t="s">
        <v>26</v>
      </c>
      <c r="F92" t="s">
        <v>23</v>
      </c>
      <c r="G92" t="s">
        <v>27</v>
      </c>
      <c r="H92" t="s">
        <v>54</v>
      </c>
      <c r="I92" t="s">
        <v>60</v>
      </c>
      <c r="J92" t="s">
        <v>61</v>
      </c>
      <c r="K92">
        <v>10</v>
      </c>
      <c r="L92" s="2">
        <v>1050</v>
      </c>
      <c r="M92" s="2">
        <v>760</v>
      </c>
      <c r="N92" s="3">
        <v>0.05</v>
      </c>
      <c r="O92" s="2">
        <v>9975</v>
      </c>
      <c r="P92" s="2">
        <v>399</v>
      </c>
      <c r="Q92" s="2">
        <v>2375</v>
      </c>
      <c r="R92" s="3">
        <v>0.23809523809523808</v>
      </c>
    </row>
    <row r="93" spans="1:18" x14ac:dyDescent="0.45">
      <c r="A93" t="s">
        <v>169</v>
      </c>
      <c r="B93" s="1">
        <v>45572</v>
      </c>
      <c r="C93" t="s">
        <v>128</v>
      </c>
      <c r="D93" t="s">
        <v>279</v>
      </c>
      <c r="E93" t="s">
        <v>14</v>
      </c>
      <c r="F93" t="s">
        <v>16</v>
      </c>
      <c r="G93" t="s">
        <v>15</v>
      </c>
      <c r="H93" t="s">
        <v>71</v>
      </c>
      <c r="I93" t="s">
        <v>55</v>
      </c>
      <c r="J93" t="s">
        <v>129</v>
      </c>
      <c r="K93">
        <v>7</v>
      </c>
      <c r="L93" s="2">
        <v>240</v>
      </c>
      <c r="M93" s="2">
        <v>150</v>
      </c>
      <c r="N93" s="3">
        <v>0.05</v>
      </c>
      <c r="O93" s="2">
        <v>1596</v>
      </c>
      <c r="P93" s="2">
        <v>31.92</v>
      </c>
      <c r="Q93" s="2">
        <v>546</v>
      </c>
      <c r="R93" s="3">
        <v>0.34210526315789475</v>
      </c>
    </row>
    <row r="94" spans="1:18" x14ac:dyDescent="0.45">
      <c r="A94" t="s">
        <v>170</v>
      </c>
      <c r="B94" s="1">
        <v>45588</v>
      </c>
      <c r="C94" t="s">
        <v>133</v>
      </c>
      <c r="D94" t="s">
        <v>288</v>
      </c>
      <c r="E94" t="s">
        <v>28</v>
      </c>
      <c r="F94" t="s">
        <v>30</v>
      </c>
      <c r="G94" t="s">
        <v>29</v>
      </c>
      <c r="H94" t="s">
        <v>71</v>
      </c>
      <c r="I94" t="s">
        <v>67</v>
      </c>
      <c r="J94" t="s">
        <v>134</v>
      </c>
      <c r="K94">
        <v>15</v>
      </c>
      <c r="L94" s="2">
        <v>210</v>
      </c>
      <c r="M94" s="2">
        <v>120</v>
      </c>
      <c r="N94" s="3">
        <v>0.1</v>
      </c>
      <c r="O94" s="2">
        <v>2835</v>
      </c>
      <c r="P94" s="2">
        <v>56.7</v>
      </c>
      <c r="Q94" s="2">
        <v>1035</v>
      </c>
      <c r="R94" s="3">
        <v>0.36507936507936506</v>
      </c>
    </row>
    <row r="95" spans="1:18" x14ac:dyDescent="0.45">
      <c r="A95" t="s">
        <v>171</v>
      </c>
      <c r="B95" s="1">
        <v>45518</v>
      </c>
      <c r="C95" t="s">
        <v>73</v>
      </c>
      <c r="D95" t="s">
        <v>282</v>
      </c>
      <c r="E95" t="s">
        <v>24</v>
      </c>
      <c r="F95" t="s">
        <v>23</v>
      </c>
      <c r="G95" t="s">
        <v>25</v>
      </c>
      <c r="H95" t="s">
        <v>71</v>
      </c>
      <c r="I95" t="s">
        <v>67</v>
      </c>
      <c r="J95" t="s">
        <v>74</v>
      </c>
      <c r="K95">
        <v>24</v>
      </c>
      <c r="L95" s="2">
        <v>1750</v>
      </c>
      <c r="M95" s="2">
        <v>1300</v>
      </c>
      <c r="N95" s="3">
        <v>0.2</v>
      </c>
      <c r="O95" s="2">
        <v>33600</v>
      </c>
      <c r="P95" s="2">
        <v>2016</v>
      </c>
      <c r="Q95" s="2">
        <v>2400</v>
      </c>
      <c r="R95" s="3">
        <v>7.1428571428571425E-2</v>
      </c>
    </row>
    <row r="96" spans="1:18" x14ac:dyDescent="0.45">
      <c r="A96" t="s">
        <v>172</v>
      </c>
      <c r="B96" s="1">
        <v>45629</v>
      </c>
      <c r="C96" t="s">
        <v>53</v>
      </c>
      <c r="D96" t="s">
        <v>280</v>
      </c>
      <c r="E96" t="s">
        <v>14</v>
      </c>
      <c r="F96" t="s">
        <v>16</v>
      </c>
      <c r="G96" t="s">
        <v>15</v>
      </c>
      <c r="H96" t="s">
        <v>54</v>
      </c>
      <c r="I96" t="s">
        <v>55</v>
      </c>
      <c r="J96" t="s">
        <v>56</v>
      </c>
      <c r="K96">
        <v>22</v>
      </c>
      <c r="L96" s="2">
        <v>240</v>
      </c>
      <c r="M96" s="2">
        <v>150</v>
      </c>
      <c r="N96" s="3">
        <v>0.2</v>
      </c>
      <c r="O96" s="2">
        <v>4224</v>
      </c>
      <c r="P96" s="2">
        <v>84.48</v>
      </c>
      <c r="Q96" s="2">
        <v>924</v>
      </c>
      <c r="R96" s="3">
        <v>0.21875</v>
      </c>
    </row>
    <row r="97" spans="1:18" x14ac:dyDescent="0.45">
      <c r="A97" t="s">
        <v>173</v>
      </c>
      <c r="B97" s="1">
        <v>45339</v>
      </c>
      <c r="C97" t="s">
        <v>73</v>
      </c>
      <c r="D97" t="s">
        <v>282</v>
      </c>
      <c r="E97" t="s">
        <v>28</v>
      </c>
      <c r="F97" t="s">
        <v>30</v>
      </c>
      <c r="G97" t="s">
        <v>29</v>
      </c>
      <c r="H97" t="s">
        <v>71</v>
      </c>
      <c r="I97" t="s">
        <v>67</v>
      </c>
      <c r="J97" t="s">
        <v>74</v>
      </c>
      <c r="K97">
        <v>8</v>
      </c>
      <c r="L97" s="2">
        <v>210</v>
      </c>
      <c r="M97" s="2">
        <v>120</v>
      </c>
      <c r="N97" s="3">
        <v>0.05</v>
      </c>
      <c r="O97" s="2">
        <v>1596</v>
      </c>
      <c r="P97" s="2">
        <v>31.92</v>
      </c>
      <c r="Q97" s="2">
        <v>636</v>
      </c>
      <c r="R97" s="3">
        <v>0.39849624060150374</v>
      </c>
    </row>
    <row r="98" spans="1:18" x14ac:dyDescent="0.45">
      <c r="A98" t="s">
        <v>174</v>
      </c>
      <c r="B98" s="1">
        <v>45367</v>
      </c>
      <c r="C98" t="s">
        <v>128</v>
      </c>
      <c r="D98" t="s">
        <v>279</v>
      </c>
      <c r="E98" t="s">
        <v>5</v>
      </c>
      <c r="F98" t="s">
        <v>7</v>
      </c>
      <c r="G98" t="s">
        <v>6</v>
      </c>
      <c r="H98" t="s">
        <v>59</v>
      </c>
      <c r="I98" t="s">
        <v>55</v>
      </c>
      <c r="J98" t="s">
        <v>129</v>
      </c>
      <c r="K98">
        <v>16</v>
      </c>
      <c r="L98" s="2">
        <v>25</v>
      </c>
      <c r="M98" s="2">
        <v>11</v>
      </c>
      <c r="N98" s="3">
        <v>0.15</v>
      </c>
      <c r="O98" s="2">
        <v>340</v>
      </c>
      <c r="P98" s="2">
        <v>6.8</v>
      </c>
      <c r="Q98" s="2">
        <v>164</v>
      </c>
      <c r="R98" s="3">
        <v>0.4823529411764706</v>
      </c>
    </row>
    <row r="99" spans="1:18" x14ac:dyDescent="0.45">
      <c r="A99" t="s">
        <v>175</v>
      </c>
      <c r="B99" s="1">
        <v>45525</v>
      </c>
      <c r="C99" t="s">
        <v>63</v>
      </c>
      <c r="D99" t="s">
        <v>285</v>
      </c>
      <c r="E99" t="s">
        <v>38</v>
      </c>
      <c r="F99" t="s">
        <v>37</v>
      </c>
      <c r="G99" t="s">
        <v>39</v>
      </c>
      <c r="H99" t="s">
        <v>54</v>
      </c>
      <c r="I99" t="s">
        <v>55</v>
      </c>
      <c r="J99" t="s">
        <v>64</v>
      </c>
      <c r="K99">
        <v>19</v>
      </c>
      <c r="L99" s="2">
        <v>160</v>
      </c>
      <c r="M99" s="2">
        <v>88</v>
      </c>
      <c r="N99" s="3">
        <v>0.15</v>
      </c>
      <c r="O99" s="2">
        <v>2584</v>
      </c>
      <c r="P99" s="2">
        <v>51.68</v>
      </c>
      <c r="Q99" s="2">
        <v>912</v>
      </c>
      <c r="R99" s="3">
        <v>0.35294117647058826</v>
      </c>
    </row>
    <row r="100" spans="1:18" x14ac:dyDescent="0.45">
      <c r="A100" t="s">
        <v>176</v>
      </c>
      <c r="B100" s="1">
        <v>45648</v>
      </c>
      <c r="C100" t="s">
        <v>63</v>
      </c>
      <c r="D100" t="s">
        <v>285</v>
      </c>
      <c r="E100" t="s">
        <v>21</v>
      </c>
      <c r="F100" t="s">
        <v>23</v>
      </c>
      <c r="G100" t="s">
        <v>22</v>
      </c>
      <c r="H100" t="s">
        <v>71</v>
      </c>
      <c r="I100" t="s">
        <v>55</v>
      </c>
      <c r="J100" t="s">
        <v>64</v>
      </c>
      <c r="K100">
        <v>8</v>
      </c>
      <c r="L100" s="2">
        <v>1150</v>
      </c>
      <c r="M100" s="2">
        <v>820</v>
      </c>
      <c r="N100" s="3">
        <v>0.05</v>
      </c>
      <c r="O100" s="2">
        <v>8740</v>
      </c>
      <c r="P100" s="2">
        <v>349.6</v>
      </c>
      <c r="Q100" s="2">
        <v>2180</v>
      </c>
      <c r="R100" s="3">
        <v>0.2494279176201373</v>
      </c>
    </row>
    <row r="101" spans="1:18" x14ac:dyDescent="0.45">
      <c r="A101" t="s">
        <v>177</v>
      </c>
      <c r="B101" s="1">
        <v>45627</v>
      </c>
      <c r="C101" t="s">
        <v>128</v>
      </c>
      <c r="D101" t="s">
        <v>279</v>
      </c>
      <c r="E101" t="s">
        <v>38</v>
      </c>
      <c r="F101" t="s">
        <v>37</v>
      </c>
      <c r="G101" t="s">
        <v>39</v>
      </c>
      <c r="H101" t="s">
        <v>59</v>
      </c>
      <c r="I101" t="s">
        <v>55</v>
      </c>
      <c r="J101" t="s">
        <v>129</v>
      </c>
      <c r="K101">
        <v>25</v>
      </c>
      <c r="L101" s="2">
        <v>160</v>
      </c>
      <c r="M101" s="2">
        <v>88</v>
      </c>
      <c r="N101" s="3">
        <v>0.2</v>
      </c>
      <c r="O101" s="2">
        <v>3200</v>
      </c>
      <c r="P101" s="2">
        <v>64</v>
      </c>
      <c r="Q101" s="2">
        <v>1000</v>
      </c>
      <c r="R101" s="3">
        <v>0.3125</v>
      </c>
    </row>
    <row r="102" spans="1:18" x14ac:dyDescent="0.45">
      <c r="A102" t="s">
        <v>178</v>
      </c>
      <c r="B102" s="1">
        <v>45404</v>
      </c>
      <c r="C102" t="s">
        <v>58</v>
      </c>
      <c r="D102" t="s">
        <v>281</v>
      </c>
      <c r="E102" t="s">
        <v>33</v>
      </c>
      <c r="F102" t="s">
        <v>30</v>
      </c>
      <c r="G102" t="s">
        <v>34</v>
      </c>
      <c r="H102" t="s">
        <v>54</v>
      </c>
      <c r="I102" t="s">
        <v>60</v>
      </c>
      <c r="J102" t="s">
        <v>61</v>
      </c>
      <c r="K102">
        <v>17</v>
      </c>
      <c r="L102" s="2">
        <v>130</v>
      </c>
      <c r="M102" s="2">
        <v>62</v>
      </c>
      <c r="N102" s="3">
        <v>0.15</v>
      </c>
      <c r="O102" s="2">
        <v>1878.5</v>
      </c>
      <c r="P102" s="2">
        <v>37.57</v>
      </c>
      <c r="Q102" s="2">
        <v>824.5</v>
      </c>
      <c r="R102" s="3">
        <v>0.43891402714932126</v>
      </c>
    </row>
    <row r="103" spans="1:18" x14ac:dyDescent="0.45">
      <c r="A103" t="s">
        <v>179</v>
      </c>
      <c r="B103" s="1">
        <v>45317</v>
      </c>
      <c r="C103" t="s">
        <v>66</v>
      </c>
      <c r="D103" t="s">
        <v>287</v>
      </c>
      <c r="E103" t="s">
        <v>12</v>
      </c>
      <c r="F103" t="s">
        <v>7</v>
      </c>
      <c r="G103" t="s">
        <v>13</v>
      </c>
      <c r="H103" t="s">
        <v>59</v>
      </c>
      <c r="I103" t="s">
        <v>67</v>
      </c>
      <c r="J103" t="s">
        <v>68</v>
      </c>
      <c r="K103">
        <v>15</v>
      </c>
      <c r="L103" s="2">
        <v>35</v>
      </c>
      <c r="M103" s="2">
        <v>14</v>
      </c>
      <c r="N103" s="3">
        <v>0.1</v>
      </c>
      <c r="O103" s="2">
        <v>472.5</v>
      </c>
      <c r="P103" s="2">
        <v>9.4499999999999993</v>
      </c>
      <c r="Q103" s="2">
        <v>262.5</v>
      </c>
      <c r="R103" s="3">
        <v>0.55555555555555558</v>
      </c>
    </row>
    <row r="104" spans="1:18" x14ac:dyDescent="0.45">
      <c r="A104" t="s">
        <v>180</v>
      </c>
      <c r="B104" s="1">
        <v>45529</v>
      </c>
      <c r="C104" t="s">
        <v>66</v>
      </c>
      <c r="D104" t="s">
        <v>287</v>
      </c>
      <c r="E104" t="s">
        <v>24</v>
      </c>
      <c r="F104" t="s">
        <v>23</v>
      </c>
      <c r="G104" t="s">
        <v>25</v>
      </c>
      <c r="H104" t="s">
        <v>54</v>
      </c>
      <c r="I104" t="s">
        <v>67</v>
      </c>
      <c r="J104" t="s">
        <v>68</v>
      </c>
      <c r="K104">
        <v>11</v>
      </c>
      <c r="L104" s="2">
        <v>1750</v>
      </c>
      <c r="M104" s="2">
        <v>1300</v>
      </c>
      <c r="N104" s="3">
        <v>0.1</v>
      </c>
      <c r="O104" s="2">
        <v>17325</v>
      </c>
      <c r="P104" s="2">
        <v>1039.5</v>
      </c>
      <c r="Q104" s="2">
        <v>3025</v>
      </c>
      <c r="R104" s="3">
        <v>0.17460317460317459</v>
      </c>
    </row>
    <row r="105" spans="1:18" x14ac:dyDescent="0.45">
      <c r="A105" t="s">
        <v>181</v>
      </c>
      <c r="B105" s="1">
        <v>45605</v>
      </c>
      <c r="C105" t="s">
        <v>66</v>
      </c>
      <c r="D105" t="s">
        <v>287</v>
      </c>
      <c r="E105" t="s">
        <v>19</v>
      </c>
      <c r="F105" t="s">
        <v>16</v>
      </c>
      <c r="G105" t="s">
        <v>20</v>
      </c>
      <c r="H105" t="s">
        <v>54</v>
      </c>
      <c r="I105" t="s">
        <v>67</v>
      </c>
      <c r="J105" t="s">
        <v>68</v>
      </c>
      <c r="K105">
        <v>15</v>
      </c>
      <c r="L105" s="2">
        <v>180</v>
      </c>
      <c r="M105" s="2">
        <v>105</v>
      </c>
      <c r="N105" s="3">
        <v>0.1</v>
      </c>
      <c r="O105" s="2">
        <v>2430</v>
      </c>
      <c r="P105" s="2">
        <v>48.6</v>
      </c>
      <c r="Q105" s="2">
        <v>855</v>
      </c>
      <c r="R105" s="3">
        <v>0.35185185185185186</v>
      </c>
    </row>
    <row r="106" spans="1:18" x14ac:dyDescent="0.45">
      <c r="A106" t="s">
        <v>182</v>
      </c>
      <c r="B106" s="1">
        <v>45535</v>
      </c>
      <c r="C106" t="s">
        <v>77</v>
      </c>
      <c r="D106" t="s">
        <v>286</v>
      </c>
      <c r="E106" t="s">
        <v>14</v>
      </c>
      <c r="F106" t="s">
        <v>16</v>
      </c>
      <c r="G106" t="s">
        <v>15</v>
      </c>
      <c r="H106" t="s">
        <v>59</v>
      </c>
      <c r="I106" t="s">
        <v>60</v>
      </c>
      <c r="J106" t="s">
        <v>78</v>
      </c>
      <c r="K106">
        <v>21</v>
      </c>
      <c r="L106" s="2">
        <v>240</v>
      </c>
      <c r="M106" s="2">
        <v>150</v>
      </c>
      <c r="N106" s="3">
        <v>0.2</v>
      </c>
      <c r="O106" s="2">
        <v>4032</v>
      </c>
      <c r="P106" s="2">
        <v>80.64</v>
      </c>
      <c r="Q106" s="2">
        <v>882</v>
      </c>
      <c r="R106" s="3">
        <v>0.21875</v>
      </c>
    </row>
    <row r="107" spans="1:18" x14ac:dyDescent="0.45">
      <c r="A107" t="s">
        <v>183</v>
      </c>
      <c r="B107" s="1">
        <v>45558</v>
      </c>
      <c r="C107" t="s">
        <v>77</v>
      </c>
      <c r="D107" t="s">
        <v>286</v>
      </c>
      <c r="E107" t="s">
        <v>28</v>
      </c>
      <c r="F107" t="s">
        <v>30</v>
      </c>
      <c r="G107" t="s">
        <v>29</v>
      </c>
      <c r="H107" t="s">
        <v>59</v>
      </c>
      <c r="I107" t="s">
        <v>60</v>
      </c>
      <c r="J107" t="s">
        <v>78</v>
      </c>
      <c r="K107">
        <v>9</v>
      </c>
      <c r="L107" s="2">
        <v>210</v>
      </c>
      <c r="M107" s="2">
        <v>120</v>
      </c>
      <c r="N107" s="3">
        <v>0.05</v>
      </c>
      <c r="O107" s="2">
        <v>1795.5</v>
      </c>
      <c r="P107" s="2">
        <v>35.909999999999997</v>
      </c>
      <c r="Q107" s="2">
        <v>715.5</v>
      </c>
      <c r="R107" s="3">
        <v>0.39849624060150374</v>
      </c>
    </row>
    <row r="108" spans="1:18" x14ac:dyDescent="0.45">
      <c r="A108" t="s">
        <v>184</v>
      </c>
      <c r="B108" s="1">
        <v>45331</v>
      </c>
      <c r="C108" t="s">
        <v>80</v>
      </c>
      <c r="D108" t="s">
        <v>283</v>
      </c>
      <c r="E108" t="s">
        <v>12</v>
      </c>
      <c r="F108" t="s">
        <v>7</v>
      </c>
      <c r="G108" t="s">
        <v>13</v>
      </c>
      <c r="H108" t="s">
        <v>71</v>
      </c>
      <c r="I108" t="s">
        <v>67</v>
      </c>
      <c r="J108" t="s">
        <v>81</v>
      </c>
      <c r="K108">
        <v>11</v>
      </c>
      <c r="L108" s="2">
        <v>35</v>
      </c>
      <c r="M108" s="2">
        <v>14</v>
      </c>
      <c r="N108" s="3">
        <v>0.1</v>
      </c>
      <c r="O108" s="2">
        <v>346.5</v>
      </c>
      <c r="P108" s="2">
        <v>6.93</v>
      </c>
      <c r="Q108" s="2">
        <v>192.5</v>
      </c>
      <c r="R108" s="3">
        <v>0.55555555555555558</v>
      </c>
    </row>
    <row r="109" spans="1:18" x14ac:dyDescent="0.45">
      <c r="A109" t="s">
        <v>185</v>
      </c>
      <c r="B109" s="1">
        <v>45568</v>
      </c>
      <c r="C109" t="s">
        <v>53</v>
      </c>
      <c r="D109" t="s">
        <v>280</v>
      </c>
      <c r="E109" t="s">
        <v>10</v>
      </c>
      <c r="F109" t="s">
        <v>7</v>
      </c>
      <c r="G109" t="s">
        <v>11</v>
      </c>
      <c r="H109" t="s">
        <v>59</v>
      </c>
      <c r="I109" t="s">
        <v>55</v>
      </c>
      <c r="J109" t="s">
        <v>56</v>
      </c>
      <c r="K109">
        <v>8</v>
      </c>
      <c r="L109" s="2">
        <v>45</v>
      </c>
      <c r="M109" s="2">
        <v>19</v>
      </c>
      <c r="N109" s="3">
        <v>0.05</v>
      </c>
      <c r="O109" s="2">
        <v>342</v>
      </c>
      <c r="P109" s="2">
        <v>6.84</v>
      </c>
      <c r="Q109" s="2">
        <v>190</v>
      </c>
      <c r="R109" s="3">
        <v>0.55555555555555558</v>
      </c>
    </row>
    <row r="110" spans="1:18" x14ac:dyDescent="0.45">
      <c r="A110" t="s">
        <v>186</v>
      </c>
      <c r="B110" s="1">
        <v>45647</v>
      </c>
      <c r="C110" t="s">
        <v>58</v>
      </c>
      <c r="D110" t="s">
        <v>281</v>
      </c>
      <c r="E110" t="s">
        <v>31</v>
      </c>
      <c r="F110" t="s">
        <v>30</v>
      </c>
      <c r="G110" t="s">
        <v>32</v>
      </c>
      <c r="H110" t="s">
        <v>59</v>
      </c>
      <c r="I110" t="s">
        <v>60</v>
      </c>
      <c r="J110" t="s">
        <v>61</v>
      </c>
      <c r="K110">
        <v>3</v>
      </c>
      <c r="L110" s="2">
        <v>95</v>
      </c>
      <c r="M110" s="2">
        <v>44</v>
      </c>
      <c r="N110" s="3">
        <v>0</v>
      </c>
      <c r="O110" s="2">
        <v>285</v>
      </c>
      <c r="P110" s="2">
        <v>5.7</v>
      </c>
      <c r="Q110" s="2">
        <v>153</v>
      </c>
      <c r="R110" s="3">
        <v>0.5368421052631579</v>
      </c>
    </row>
    <row r="111" spans="1:18" x14ac:dyDescent="0.45">
      <c r="A111" t="s">
        <v>187</v>
      </c>
      <c r="B111" s="1">
        <v>45500</v>
      </c>
      <c r="C111" t="s">
        <v>89</v>
      </c>
      <c r="D111" t="s">
        <v>284</v>
      </c>
      <c r="E111" t="s">
        <v>24</v>
      </c>
      <c r="F111" t="s">
        <v>23</v>
      </c>
      <c r="G111" t="s">
        <v>25</v>
      </c>
      <c r="H111" t="s">
        <v>71</v>
      </c>
      <c r="I111" t="s">
        <v>55</v>
      </c>
      <c r="J111" t="s">
        <v>90</v>
      </c>
      <c r="K111">
        <v>14</v>
      </c>
      <c r="L111" s="2">
        <v>1750</v>
      </c>
      <c r="M111" s="2">
        <v>1300</v>
      </c>
      <c r="N111" s="3">
        <v>0.1</v>
      </c>
      <c r="O111" s="2">
        <v>22050</v>
      </c>
      <c r="P111" s="2">
        <v>1323</v>
      </c>
      <c r="Q111" s="2">
        <v>3850</v>
      </c>
      <c r="R111" s="3">
        <v>0.17460317460317459</v>
      </c>
    </row>
    <row r="112" spans="1:18" x14ac:dyDescent="0.45">
      <c r="A112" t="s">
        <v>188</v>
      </c>
      <c r="B112" s="1">
        <v>45397</v>
      </c>
      <c r="C112" t="s">
        <v>63</v>
      </c>
      <c r="D112" t="s">
        <v>285</v>
      </c>
      <c r="E112" t="s">
        <v>19</v>
      </c>
      <c r="F112" t="s">
        <v>16</v>
      </c>
      <c r="G112" t="s">
        <v>20</v>
      </c>
      <c r="H112" t="s">
        <v>54</v>
      </c>
      <c r="I112" t="s">
        <v>55</v>
      </c>
      <c r="J112" t="s">
        <v>64</v>
      </c>
      <c r="K112">
        <v>23</v>
      </c>
      <c r="L112" s="2">
        <v>180</v>
      </c>
      <c r="M112" s="2">
        <v>105</v>
      </c>
      <c r="N112" s="3">
        <v>0.2</v>
      </c>
      <c r="O112" s="2">
        <v>3312</v>
      </c>
      <c r="P112" s="2">
        <v>66.239999999999995</v>
      </c>
      <c r="Q112" s="2">
        <v>897</v>
      </c>
      <c r="R112" s="3">
        <v>0.27083333333333331</v>
      </c>
    </row>
    <row r="113" spans="1:18" x14ac:dyDescent="0.45">
      <c r="A113" t="s">
        <v>189</v>
      </c>
      <c r="B113" s="1">
        <v>45586</v>
      </c>
      <c r="C113" t="s">
        <v>63</v>
      </c>
      <c r="D113" t="s">
        <v>285</v>
      </c>
      <c r="E113" t="s">
        <v>21</v>
      </c>
      <c r="F113" t="s">
        <v>23</v>
      </c>
      <c r="G113" t="s">
        <v>22</v>
      </c>
      <c r="H113" t="s">
        <v>59</v>
      </c>
      <c r="I113" t="s">
        <v>55</v>
      </c>
      <c r="J113" t="s">
        <v>64</v>
      </c>
      <c r="K113">
        <v>12</v>
      </c>
      <c r="L113" s="2">
        <v>1150</v>
      </c>
      <c r="M113" s="2">
        <v>820</v>
      </c>
      <c r="N113" s="3">
        <v>0.1</v>
      </c>
      <c r="O113" s="2">
        <v>12420</v>
      </c>
      <c r="P113" s="2">
        <v>496.8</v>
      </c>
      <c r="Q113" s="2">
        <v>2580</v>
      </c>
      <c r="R113" s="3">
        <v>0.20772946859903385</v>
      </c>
    </row>
    <row r="114" spans="1:18" x14ac:dyDescent="0.45">
      <c r="A114" t="s">
        <v>190</v>
      </c>
      <c r="B114" s="1">
        <v>45491</v>
      </c>
      <c r="C114" t="s">
        <v>63</v>
      </c>
      <c r="D114" t="s">
        <v>285</v>
      </c>
      <c r="E114" t="s">
        <v>24</v>
      </c>
      <c r="F114" t="s">
        <v>23</v>
      </c>
      <c r="G114" t="s">
        <v>25</v>
      </c>
      <c r="H114" t="s">
        <v>54</v>
      </c>
      <c r="I114" t="s">
        <v>55</v>
      </c>
      <c r="J114" t="s">
        <v>64</v>
      </c>
      <c r="K114">
        <v>24</v>
      </c>
      <c r="L114" s="2">
        <v>1750</v>
      </c>
      <c r="M114" s="2">
        <v>1300</v>
      </c>
      <c r="N114" s="3">
        <v>0.2</v>
      </c>
      <c r="O114" s="2">
        <v>33600</v>
      </c>
      <c r="P114" s="2">
        <v>2016</v>
      </c>
      <c r="Q114" s="2">
        <v>2400</v>
      </c>
      <c r="R114" s="3">
        <v>7.1428571428571425E-2</v>
      </c>
    </row>
    <row r="115" spans="1:18" x14ac:dyDescent="0.45">
      <c r="A115" t="s">
        <v>191</v>
      </c>
      <c r="B115" s="1">
        <v>45541</v>
      </c>
      <c r="C115" t="s">
        <v>73</v>
      </c>
      <c r="D115" t="s">
        <v>282</v>
      </c>
      <c r="E115" t="s">
        <v>14</v>
      </c>
      <c r="F115" t="s">
        <v>16</v>
      </c>
      <c r="G115" t="s">
        <v>15</v>
      </c>
      <c r="H115" t="s">
        <v>71</v>
      </c>
      <c r="I115" t="s">
        <v>67</v>
      </c>
      <c r="J115" t="s">
        <v>74</v>
      </c>
      <c r="K115">
        <v>16</v>
      </c>
      <c r="L115" s="2">
        <v>240</v>
      </c>
      <c r="M115" s="2">
        <v>150</v>
      </c>
      <c r="N115" s="3">
        <v>0.15</v>
      </c>
      <c r="O115" s="2">
        <v>3264</v>
      </c>
      <c r="P115" s="2">
        <v>65.28</v>
      </c>
      <c r="Q115" s="2">
        <v>864</v>
      </c>
      <c r="R115" s="3">
        <v>0.26470588235294118</v>
      </c>
    </row>
    <row r="116" spans="1:18" x14ac:dyDescent="0.45">
      <c r="A116" t="s">
        <v>192</v>
      </c>
      <c r="B116" s="1">
        <v>45491</v>
      </c>
      <c r="C116" t="s">
        <v>89</v>
      </c>
      <c r="D116" t="s">
        <v>284</v>
      </c>
      <c r="E116" t="s">
        <v>28</v>
      </c>
      <c r="F116" t="s">
        <v>30</v>
      </c>
      <c r="G116" t="s">
        <v>29</v>
      </c>
      <c r="H116" t="s">
        <v>54</v>
      </c>
      <c r="I116" t="s">
        <v>55</v>
      </c>
      <c r="J116" t="s">
        <v>90</v>
      </c>
      <c r="K116">
        <v>13</v>
      </c>
      <c r="L116" s="2">
        <v>210</v>
      </c>
      <c r="M116" s="2">
        <v>120</v>
      </c>
      <c r="N116" s="3">
        <v>0.1</v>
      </c>
      <c r="O116" s="2">
        <v>2457</v>
      </c>
      <c r="P116" s="2">
        <v>49.14</v>
      </c>
      <c r="Q116" s="2">
        <v>897</v>
      </c>
      <c r="R116" s="3">
        <v>0.36507936507936506</v>
      </c>
    </row>
    <row r="117" spans="1:18" x14ac:dyDescent="0.45">
      <c r="A117" t="s">
        <v>193</v>
      </c>
      <c r="B117" s="1">
        <v>45531</v>
      </c>
      <c r="C117" t="s">
        <v>58</v>
      </c>
      <c r="D117" t="s">
        <v>281</v>
      </c>
      <c r="E117" t="s">
        <v>26</v>
      </c>
      <c r="F117" t="s">
        <v>23</v>
      </c>
      <c r="G117" t="s">
        <v>27</v>
      </c>
      <c r="H117" t="s">
        <v>54</v>
      </c>
      <c r="I117" t="s">
        <v>60</v>
      </c>
      <c r="J117" t="s">
        <v>61</v>
      </c>
      <c r="K117">
        <v>1</v>
      </c>
      <c r="L117" s="2">
        <v>1050</v>
      </c>
      <c r="M117" s="2">
        <v>760</v>
      </c>
      <c r="N117" s="3">
        <v>0</v>
      </c>
      <c r="O117" s="2">
        <v>1050</v>
      </c>
      <c r="P117" s="2">
        <v>21</v>
      </c>
      <c r="Q117" s="2">
        <v>290</v>
      </c>
      <c r="R117" s="3">
        <v>0.27619047619047621</v>
      </c>
    </row>
    <row r="118" spans="1:18" x14ac:dyDescent="0.45">
      <c r="A118" t="s">
        <v>194</v>
      </c>
      <c r="B118" s="1">
        <v>45595</v>
      </c>
      <c r="C118" t="s">
        <v>133</v>
      </c>
      <c r="D118" t="s">
        <v>288</v>
      </c>
      <c r="E118" t="s">
        <v>28</v>
      </c>
      <c r="F118" t="s">
        <v>30</v>
      </c>
      <c r="G118" t="s">
        <v>29</v>
      </c>
      <c r="H118" t="s">
        <v>59</v>
      </c>
      <c r="I118" t="s">
        <v>67</v>
      </c>
      <c r="J118" t="s">
        <v>134</v>
      </c>
      <c r="K118">
        <v>3</v>
      </c>
      <c r="L118" s="2">
        <v>210</v>
      </c>
      <c r="M118" s="2">
        <v>120</v>
      </c>
      <c r="N118" s="3">
        <v>0</v>
      </c>
      <c r="O118" s="2">
        <v>630</v>
      </c>
      <c r="P118" s="2">
        <v>12.6</v>
      </c>
      <c r="Q118" s="2">
        <v>270</v>
      </c>
      <c r="R118" s="3">
        <v>0.42857142857142855</v>
      </c>
    </row>
    <row r="119" spans="1:18" x14ac:dyDescent="0.45">
      <c r="A119" t="s">
        <v>195</v>
      </c>
      <c r="B119" s="1">
        <v>45361</v>
      </c>
      <c r="C119" t="s">
        <v>77</v>
      </c>
      <c r="D119" t="s">
        <v>286</v>
      </c>
      <c r="E119" t="s">
        <v>10</v>
      </c>
      <c r="F119" t="s">
        <v>7</v>
      </c>
      <c r="G119" t="s">
        <v>11</v>
      </c>
      <c r="H119" t="s">
        <v>59</v>
      </c>
      <c r="I119" t="s">
        <v>60</v>
      </c>
      <c r="J119" t="s">
        <v>78</v>
      </c>
      <c r="K119">
        <v>9</v>
      </c>
      <c r="L119" s="2">
        <v>45</v>
      </c>
      <c r="M119" s="2">
        <v>19</v>
      </c>
      <c r="N119" s="3">
        <v>0.05</v>
      </c>
      <c r="O119" s="2">
        <v>384.75</v>
      </c>
      <c r="P119" s="2">
        <v>7.6950000000000003</v>
      </c>
      <c r="Q119" s="2">
        <v>213.75</v>
      </c>
      <c r="R119" s="3">
        <v>0.55555555555555558</v>
      </c>
    </row>
    <row r="120" spans="1:18" x14ac:dyDescent="0.45">
      <c r="A120" t="s">
        <v>196</v>
      </c>
      <c r="B120" s="1">
        <v>45459</v>
      </c>
      <c r="C120" t="s">
        <v>73</v>
      </c>
      <c r="D120" t="s">
        <v>282</v>
      </c>
      <c r="E120" t="s">
        <v>21</v>
      </c>
      <c r="F120" t="s">
        <v>23</v>
      </c>
      <c r="G120" t="s">
        <v>22</v>
      </c>
      <c r="H120" t="s">
        <v>71</v>
      </c>
      <c r="I120" t="s">
        <v>67</v>
      </c>
      <c r="J120" t="s">
        <v>74</v>
      </c>
      <c r="K120">
        <v>11</v>
      </c>
      <c r="L120" s="2">
        <v>1150</v>
      </c>
      <c r="M120" s="2">
        <v>820</v>
      </c>
      <c r="N120" s="3">
        <v>0.1</v>
      </c>
      <c r="O120" s="2">
        <v>11385</v>
      </c>
      <c r="P120" s="2">
        <v>455.4</v>
      </c>
      <c r="Q120" s="2">
        <v>2365</v>
      </c>
      <c r="R120" s="3">
        <v>0.20772946859903385</v>
      </c>
    </row>
    <row r="121" spans="1:18" x14ac:dyDescent="0.45">
      <c r="A121" t="s">
        <v>197</v>
      </c>
      <c r="B121" s="1">
        <v>45434</v>
      </c>
      <c r="C121" t="s">
        <v>63</v>
      </c>
      <c r="D121" t="s">
        <v>285</v>
      </c>
      <c r="E121" t="s">
        <v>14</v>
      </c>
      <c r="F121" t="s">
        <v>16</v>
      </c>
      <c r="G121" t="s">
        <v>15</v>
      </c>
      <c r="H121" t="s">
        <v>59</v>
      </c>
      <c r="I121" t="s">
        <v>55</v>
      </c>
      <c r="J121" t="s">
        <v>64</v>
      </c>
      <c r="K121">
        <v>16</v>
      </c>
      <c r="L121" s="2">
        <v>240</v>
      </c>
      <c r="M121" s="2">
        <v>150</v>
      </c>
      <c r="N121" s="3">
        <v>0.15</v>
      </c>
      <c r="O121" s="2">
        <v>3264</v>
      </c>
      <c r="P121" s="2">
        <v>65.28</v>
      </c>
      <c r="Q121" s="2">
        <v>864</v>
      </c>
      <c r="R121" s="3">
        <v>0.26470588235294118</v>
      </c>
    </row>
    <row r="122" spans="1:18" x14ac:dyDescent="0.45">
      <c r="A122" t="s">
        <v>198</v>
      </c>
      <c r="B122" s="1">
        <v>45568</v>
      </c>
      <c r="C122" t="s">
        <v>128</v>
      </c>
      <c r="D122" t="s">
        <v>279</v>
      </c>
      <c r="E122" t="s">
        <v>17</v>
      </c>
      <c r="F122" t="s">
        <v>16</v>
      </c>
      <c r="G122" t="s">
        <v>18</v>
      </c>
      <c r="H122" t="s">
        <v>59</v>
      </c>
      <c r="I122" t="s">
        <v>55</v>
      </c>
      <c r="J122" t="s">
        <v>129</v>
      </c>
      <c r="K122">
        <v>21</v>
      </c>
      <c r="L122" s="2">
        <v>520</v>
      </c>
      <c r="M122" s="2">
        <v>360</v>
      </c>
      <c r="N122" s="3">
        <v>0.2</v>
      </c>
      <c r="O122" s="2">
        <v>8736</v>
      </c>
      <c r="P122" s="2">
        <v>349.44</v>
      </c>
      <c r="Q122" s="2">
        <v>1176</v>
      </c>
      <c r="R122" s="3">
        <v>0.13461538461538461</v>
      </c>
    </row>
    <row r="123" spans="1:18" x14ac:dyDescent="0.45">
      <c r="A123" t="s">
        <v>199</v>
      </c>
      <c r="B123" s="1">
        <v>45625</v>
      </c>
      <c r="C123" t="s">
        <v>128</v>
      </c>
      <c r="D123" t="s">
        <v>279</v>
      </c>
      <c r="E123" t="s">
        <v>33</v>
      </c>
      <c r="F123" t="s">
        <v>30</v>
      </c>
      <c r="G123" t="s">
        <v>34</v>
      </c>
      <c r="H123" t="s">
        <v>59</v>
      </c>
      <c r="I123" t="s">
        <v>55</v>
      </c>
      <c r="J123" t="s">
        <v>129</v>
      </c>
      <c r="K123">
        <v>8</v>
      </c>
      <c r="L123" s="2">
        <v>130</v>
      </c>
      <c r="M123" s="2">
        <v>62</v>
      </c>
      <c r="N123" s="3">
        <v>0.05</v>
      </c>
      <c r="O123" s="2">
        <v>988</v>
      </c>
      <c r="P123" s="2">
        <v>19.760000000000002</v>
      </c>
      <c r="Q123" s="2">
        <v>492</v>
      </c>
      <c r="R123" s="3">
        <v>0.49797570850202422</v>
      </c>
    </row>
    <row r="124" spans="1:18" x14ac:dyDescent="0.45">
      <c r="A124" t="s">
        <v>200</v>
      </c>
      <c r="B124" s="1">
        <v>45302</v>
      </c>
      <c r="C124" t="s">
        <v>133</v>
      </c>
      <c r="D124" t="s">
        <v>288</v>
      </c>
      <c r="E124" t="s">
        <v>10</v>
      </c>
      <c r="F124" t="s">
        <v>7</v>
      </c>
      <c r="G124" t="s">
        <v>11</v>
      </c>
      <c r="H124" t="s">
        <v>59</v>
      </c>
      <c r="I124" t="s">
        <v>67</v>
      </c>
      <c r="J124" t="s">
        <v>134</v>
      </c>
      <c r="K124">
        <v>5</v>
      </c>
      <c r="L124" s="2">
        <v>45</v>
      </c>
      <c r="M124" s="2">
        <v>19</v>
      </c>
      <c r="N124" s="3">
        <v>0</v>
      </c>
      <c r="O124" s="2">
        <v>225</v>
      </c>
      <c r="P124" s="2">
        <v>4.5</v>
      </c>
      <c r="Q124" s="2">
        <v>130</v>
      </c>
      <c r="R124" s="3">
        <v>0.57777777777777772</v>
      </c>
    </row>
    <row r="125" spans="1:18" x14ac:dyDescent="0.45">
      <c r="A125" t="s">
        <v>201</v>
      </c>
      <c r="B125" s="1">
        <v>45634</v>
      </c>
      <c r="C125" t="s">
        <v>53</v>
      </c>
      <c r="D125" t="s">
        <v>280</v>
      </c>
      <c r="E125" t="s">
        <v>26</v>
      </c>
      <c r="F125" t="s">
        <v>23</v>
      </c>
      <c r="G125" t="s">
        <v>27</v>
      </c>
      <c r="H125" t="s">
        <v>59</v>
      </c>
      <c r="I125" t="s">
        <v>55</v>
      </c>
      <c r="J125" t="s">
        <v>56</v>
      </c>
      <c r="K125">
        <v>15</v>
      </c>
      <c r="L125" s="2">
        <v>1050</v>
      </c>
      <c r="M125" s="2">
        <v>760</v>
      </c>
      <c r="N125" s="3">
        <v>0.1</v>
      </c>
      <c r="O125" s="2">
        <v>14175</v>
      </c>
      <c r="P125" s="2">
        <v>567</v>
      </c>
      <c r="Q125" s="2">
        <v>2775</v>
      </c>
      <c r="R125" s="3">
        <v>0.19576719576719576</v>
      </c>
    </row>
    <row r="126" spans="1:18" x14ac:dyDescent="0.45">
      <c r="A126" t="s">
        <v>202</v>
      </c>
      <c r="B126" s="1">
        <v>45480</v>
      </c>
      <c r="C126" t="s">
        <v>58</v>
      </c>
      <c r="D126" t="s">
        <v>281</v>
      </c>
      <c r="E126" t="s">
        <v>26</v>
      </c>
      <c r="F126" t="s">
        <v>23</v>
      </c>
      <c r="G126" t="s">
        <v>27</v>
      </c>
      <c r="H126" t="s">
        <v>54</v>
      </c>
      <c r="I126" t="s">
        <v>60</v>
      </c>
      <c r="J126" t="s">
        <v>61</v>
      </c>
      <c r="K126">
        <v>24</v>
      </c>
      <c r="L126" s="2">
        <v>1050</v>
      </c>
      <c r="M126" s="2">
        <v>760</v>
      </c>
      <c r="N126" s="3">
        <v>0.2</v>
      </c>
      <c r="O126" s="2">
        <v>20160</v>
      </c>
      <c r="P126" s="2">
        <v>1209.5999999999999</v>
      </c>
      <c r="Q126" s="2">
        <v>1920</v>
      </c>
      <c r="R126" s="3">
        <v>9.5238095238095233E-2</v>
      </c>
    </row>
    <row r="127" spans="1:18" x14ac:dyDescent="0.45">
      <c r="A127" t="s">
        <v>203</v>
      </c>
      <c r="B127" s="1">
        <v>45375</v>
      </c>
      <c r="C127" t="s">
        <v>80</v>
      </c>
      <c r="D127" t="s">
        <v>283</v>
      </c>
      <c r="E127" t="s">
        <v>8</v>
      </c>
      <c r="F127" t="s">
        <v>7</v>
      </c>
      <c r="G127" t="s">
        <v>9</v>
      </c>
      <c r="H127" t="s">
        <v>54</v>
      </c>
      <c r="I127" t="s">
        <v>67</v>
      </c>
      <c r="J127" t="s">
        <v>81</v>
      </c>
      <c r="K127">
        <v>1</v>
      </c>
      <c r="L127" s="2">
        <v>79</v>
      </c>
      <c r="M127" s="2">
        <v>38</v>
      </c>
      <c r="N127" s="3">
        <v>0</v>
      </c>
      <c r="O127" s="2">
        <v>79</v>
      </c>
      <c r="P127" s="2">
        <v>1.58</v>
      </c>
      <c r="Q127" s="2">
        <v>41</v>
      </c>
      <c r="R127" s="3">
        <v>0.51898734177215189</v>
      </c>
    </row>
    <row r="128" spans="1:18" x14ac:dyDescent="0.45">
      <c r="A128" t="s">
        <v>204</v>
      </c>
      <c r="B128" s="1">
        <v>45586</v>
      </c>
      <c r="C128" t="s">
        <v>63</v>
      </c>
      <c r="D128" t="s">
        <v>285</v>
      </c>
      <c r="E128" t="s">
        <v>19</v>
      </c>
      <c r="F128" t="s">
        <v>16</v>
      </c>
      <c r="G128" t="s">
        <v>20</v>
      </c>
      <c r="H128" t="s">
        <v>54</v>
      </c>
      <c r="I128" t="s">
        <v>55</v>
      </c>
      <c r="J128" t="s">
        <v>64</v>
      </c>
      <c r="K128">
        <v>7</v>
      </c>
      <c r="L128" s="2">
        <v>180</v>
      </c>
      <c r="M128" s="2">
        <v>105</v>
      </c>
      <c r="N128" s="3">
        <v>0.05</v>
      </c>
      <c r="O128" s="2">
        <v>1197</v>
      </c>
      <c r="P128" s="2">
        <v>23.94</v>
      </c>
      <c r="Q128" s="2">
        <v>462</v>
      </c>
      <c r="R128" s="3">
        <v>0.38596491228070173</v>
      </c>
    </row>
    <row r="129" spans="1:18" x14ac:dyDescent="0.45">
      <c r="A129" t="s">
        <v>205</v>
      </c>
      <c r="B129" s="1">
        <v>45595</v>
      </c>
      <c r="C129" t="s">
        <v>73</v>
      </c>
      <c r="D129" t="s">
        <v>282</v>
      </c>
      <c r="E129" t="s">
        <v>8</v>
      </c>
      <c r="F129" t="s">
        <v>7</v>
      </c>
      <c r="G129" t="s">
        <v>9</v>
      </c>
      <c r="H129" t="s">
        <v>54</v>
      </c>
      <c r="I129" t="s">
        <v>67</v>
      </c>
      <c r="J129" t="s">
        <v>74</v>
      </c>
      <c r="K129">
        <v>25</v>
      </c>
      <c r="L129" s="2">
        <v>79</v>
      </c>
      <c r="M129" s="2">
        <v>38</v>
      </c>
      <c r="N129" s="3">
        <v>0.2</v>
      </c>
      <c r="O129" s="2">
        <v>1580</v>
      </c>
      <c r="P129" s="2">
        <v>31.6</v>
      </c>
      <c r="Q129" s="2">
        <v>630</v>
      </c>
      <c r="R129" s="3">
        <v>0.39873417721518994</v>
      </c>
    </row>
    <row r="130" spans="1:18" x14ac:dyDescent="0.45">
      <c r="A130" t="s">
        <v>206</v>
      </c>
      <c r="B130" s="1">
        <v>45642</v>
      </c>
      <c r="C130" t="s">
        <v>133</v>
      </c>
      <c r="D130" t="s">
        <v>288</v>
      </c>
      <c r="E130" t="s">
        <v>33</v>
      </c>
      <c r="F130" t="s">
        <v>30</v>
      </c>
      <c r="G130" t="s">
        <v>34</v>
      </c>
      <c r="H130" t="s">
        <v>59</v>
      </c>
      <c r="I130" t="s">
        <v>67</v>
      </c>
      <c r="J130" t="s">
        <v>134</v>
      </c>
      <c r="K130">
        <v>19</v>
      </c>
      <c r="L130" s="2">
        <v>130</v>
      </c>
      <c r="M130" s="2">
        <v>62</v>
      </c>
      <c r="N130" s="3">
        <v>0.15</v>
      </c>
      <c r="O130" s="2">
        <v>2099.5</v>
      </c>
      <c r="P130" s="2">
        <v>41.99</v>
      </c>
      <c r="Q130" s="2">
        <v>921.5</v>
      </c>
      <c r="R130" s="3">
        <v>0.43891402714932126</v>
      </c>
    </row>
    <row r="131" spans="1:18" x14ac:dyDescent="0.45">
      <c r="A131" t="s">
        <v>207</v>
      </c>
      <c r="B131" s="1">
        <v>45469</v>
      </c>
      <c r="C131" t="s">
        <v>66</v>
      </c>
      <c r="D131" t="s">
        <v>287</v>
      </c>
      <c r="E131" t="s">
        <v>19</v>
      </c>
      <c r="F131" t="s">
        <v>16</v>
      </c>
      <c r="G131" t="s">
        <v>20</v>
      </c>
      <c r="H131" t="s">
        <v>54</v>
      </c>
      <c r="I131" t="s">
        <v>67</v>
      </c>
      <c r="J131" t="s">
        <v>68</v>
      </c>
      <c r="K131">
        <v>12</v>
      </c>
      <c r="L131" s="2">
        <v>180</v>
      </c>
      <c r="M131" s="2">
        <v>105</v>
      </c>
      <c r="N131" s="3">
        <v>0.1</v>
      </c>
      <c r="O131" s="2">
        <v>1944</v>
      </c>
      <c r="P131" s="2">
        <v>38.880000000000003</v>
      </c>
      <c r="Q131" s="2">
        <v>684</v>
      </c>
      <c r="R131" s="3">
        <v>0.35185185185185186</v>
      </c>
    </row>
    <row r="132" spans="1:18" x14ac:dyDescent="0.45">
      <c r="A132" t="s">
        <v>208</v>
      </c>
      <c r="B132" s="1">
        <v>45551</v>
      </c>
      <c r="C132" t="s">
        <v>89</v>
      </c>
      <c r="D132" t="s">
        <v>284</v>
      </c>
      <c r="E132" t="s">
        <v>5</v>
      </c>
      <c r="F132" t="s">
        <v>7</v>
      </c>
      <c r="G132" t="s">
        <v>6</v>
      </c>
      <c r="H132" t="s">
        <v>71</v>
      </c>
      <c r="I132" t="s">
        <v>55</v>
      </c>
      <c r="J132" t="s">
        <v>90</v>
      </c>
      <c r="K132">
        <v>16</v>
      </c>
      <c r="L132" s="2">
        <v>25</v>
      </c>
      <c r="M132" s="2">
        <v>11</v>
      </c>
      <c r="N132" s="3">
        <v>0.15</v>
      </c>
      <c r="O132" s="2">
        <v>340</v>
      </c>
      <c r="P132" s="2">
        <v>6.8</v>
      </c>
      <c r="Q132" s="2">
        <v>164</v>
      </c>
      <c r="R132" s="3">
        <v>0.4823529411764706</v>
      </c>
    </row>
    <row r="133" spans="1:18" x14ac:dyDescent="0.45">
      <c r="A133" t="s">
        <v>209</v>
      </c>
      <c r="B133" s="1">
        <v>45513</v>
      </c>
      <c r="C133" t="s">
        <v>89</v>
      </c>
      <c r="D133" t="s">
        <v>284</v>
      </c>
      <c r="E133" t="s">
        <v>28</v>
      </c>
      <c r="F133" t="s">
        <v>30</v>
      </c>
      <c r="G133" t="s">
        <v>29</v>
      </c>
      <c r="H133" t="s">
        <v>71</v>
      </c>
      <c r="I133" t="s">
        <v>55</v>
      </c>
      <c r="J133" t="s">
        <v>90</v>
      </c>
      <c r="K133">
        <v>23</v>
      </c>
      <c r="L133" s="2">
        <v>210</v>
      </c>
      <c r="M133" s="2">
        <v>120</v>
      </c>
      <c r="N133" s="3">
        <v>0.2</v>
      </c>
      <c r="O133" s="2">
        <v>3864</v>
      </c>
      <c r="P133" s="2">
        <v>77.28</v>
      </c>
      <c r="Q133" s="2">
        <v>1104</v>
      </c>
      <c r="R133" s="3">
        <v>0.2857142857142857</v>
      </c>
    </row>
    <row r="134" spans="1:18" x14ac:dyDescent="0.45">
      <c r="A134" t="s">
        <v>210</v>
      </c>
      <c r="B134" s="1">
        <v>45514</v>
      </c>
      <c r="C134" t="s">
        <v>58</v>
      </c>
      <c r="D134" t="s">
        <v>281</v>
      </c>
      <c r="E134" t="s">
        <v>31</v>
      </c>
      <c r="F134" t="s">
        <v>30</v>
      </c>
      <c r="G134" t="s">
        <v>32</v>
      </c>
      <c r="H134" t="s">
        <v>54</v>
      </c>
      <c r="I134" t="s">
        <v>60</v>
      </c>
      <c r="J134" t="s">
        <v>61</v>
      </c>
      <c r="K134">
        <v>21</v>
      </c>
      <c r="L134" s="2">
        <v>95</v>
      </c>
      <c r="M134" s="2">
        <v>44</v>
      </c>
      <c r="N134" s="3">
        <v>0.2</v>
      </c>
      <c r="O134" s="2">
        <v>1596</v>
      </c>
      <c r="P134" s="2">
        <v>31.92</v>
      </c>
      <c r="Q134" s="2">
        <v>672</v>
      </c>
      <c r="R134" s="3">
        <v>0.42105263157894735</v>
      </c>
    </row>
    <row r="135" spans="1:18" x14ac:dyDescent="0.45">
      <c r="A135" t="s">
        <v>211</v>
      </c>
      <c r="B135" s="1">
        <v>45607</v>
      </c>
      <c r="C135" t="s">
        <v>66</v>
      </c>
      <c r="D135" t="s">
        <v>287</v>
      </c>
      <c r="E135" t="s">
        <v>33</v>
      </c>
      <c r="F135" t="s">
        <v>30</v>
      </c>
      <c r="G135" t="s">
        <v>34</v>
      </c>
      <c r="H135" t="s">
        <v>71</v>
      </c>
      <c r="I135" t="s">
        <v>67</v>
      </c>
      <c r="J135" t="s">
        <v>68</v>
      </c>
      <c r="K135">
        <v>15</v>
      </c>
      <c r="L135" s="2">
        <v>130</v>
      </c>
      <c r="M135" s="2">
        <v>62</v>
      </c>
      <c r="N135" s="3">
        <v>0.1</v>
      </c>
      <c r="O135" s="2">
        <v>1755</v>
      </c>
      <c r="P135" s="2">
        <v>35.1</v>
      </c>
      <c r="Q135" s="2">
        <v>825</v>
      </c>
      <c r="R135" s="3">
        <v>0.47008547008547008</v>
      </c>
    </row>
    <row r="136" spans="1:18" x14ac:dyDescent="0.45">
      <c r="A136" t="s">
        <v>212</v>
      </c>
      <c r="B136" s="1">
        <v>45595</v>
      </c>
      <c r="C136" t="s">
        <v>80</v>
      </c>
      <c r="D136" t="s">
        <v>283</v>
      </c>
      <c r="E136" t="s">
        <v>17</v>
      </c>
      <c r="F136" t="s">
        <v>16</v>
      </c>
      <c r="G136" t="s">
        <v>18</v>
      </c>
      <c r="H136" t="s">
        <v>59</v>
      </c>
      <c r="I136" t="s">
        <v>67</v>
      </c>
      <c r="J136" t="s">
        <v>81</v>
      </c>
      <c r="K136">
        <v>3</v>
      </c>
      <c r="L136" s="2">
        <v>520</v>
      </c>
      <c r="M136" s="2">
        <v>360</v>
      </c>
      <c r="N136" s="3">
        <v>0</v>
      </c>
      <c r="O136" s="2">
        <v>1560</v>
      </c>
      <c r="P136" s="2">
        <v>31.2</v>
      </c>
      <c r="Q136" s="2">
        <v>480</v>
      </c>
      <c r="R136" s="3">
        <v>0.30769230769230771</v>
      </c>
    </row>
    <row r="137" spans="1:18" x14ac:dyDescent="0.45">
      <c r="A137" t="s">
        <v>213</v>
      </c>
      <c r="B137" s="1">
        <v>45522</v>
      </c>
      <c r="C137" t="s">
        <v>73</v>
      </c>
      <c r="D137" t="s">
        <v>282</v>
      </c>
      <c r="E137" t="s">
        <v>33</v>
      </c>
      <c r="F137" t="s">
        <v>30</v>
      </c>
      <c r="G137" t="s">
        <v>34</v>
      </c>
      <c r="H137" t="s">
        <v>71</v>
      </c>
      <c r="I137" t="s">
        <v>67</v>
      </c>
      <c r="J137" t="s">
        <v>74</v>
      </c>
      <c r="K137">
        <v>19</v>
      </c>
      <c r="L137" s="2">
        <v>130</v>
      </c>
      <c r="M137" s="2">
        <v>62</v>
      </c>
      <c r="N137" s="3">
        <v>0.15</v>
      </c>
      <c r="O137" s="2">
        <v>2099.5</v>
      </c>
      <c r="P137" s="2">
        <v>41.99</v>
      </c>
      <c r="Q137" s="2">
        <v>921.5</v>
      </c>
      <c r="R137" s="3">
        <v>0.43891402714932126</v>
      </c>
    </row>
    <row r="138" spans="1:18" x14ac:dyDescent="0.45">
      <c r="A138" t="s">
        <v>214</v>
      </c>
      <c r="B138" s="1">
        <v>45464</v>
      </c>
      <c r="C138" t="s">
        <v>128</v>
      </c>
      <c r="D138" t="s">
        <v>279</v>
      </c>
      <c r="E138" t="s">
        <v>21</v>
      </c>
      <c r="F138" t="s">
        <v>23</v>
      </c>
      <c r="G138" t="s">
        <v>22</v>
      </c>
      <c r="H138" t="s">
        <v>71</v>
      </c>
      <c r="I138" t="s">
        <v>55</v>
      </c>
      <c r="J138" t="s">
        <v>129</v>
      </c>
      <c r="K138">
        <v>6</v>
      </c>
      <c r="L138" s="2">
        <v>1150</v>
      </c>
      <c r="M138" s="2">
        <v>820</v>
      </c>
      <c r="N138" s="3">
        <v>0.05</v>
      </c>
      <c r="O138" s="2">
        <v>6555</v>
      </c>
      <c r="P138" s="2">
        <v>262.2</v>
      </c>
      <c r="Q138" s="2">
        <v>1635</v>
      </c>
      <c r="R138" s="3">
        <v>0.2494279176201373</v>
      </c>
    </row>
    <row r="139" spans="1:18" x14ac:dyDescent="0.45">
      <c r="A139" t="s">
        <v>215</v>
      </c>
      <c r="B139" s="1">
        <v>45400</v>
      </c>
      <c r="C139" t="s">
        <v>89</v>
      </c>
      <c r="D139" t="s">
        <v>284</v>
      </c>
      <c r="E139" t="s">
        <v>33</v>
      </c>
      <c r="F139" t="s">
        <v>30</v>
      </c>
      <c r="G139" t="s">
        <v>34</v>
      </c>
      <c r="H139" t="s">
        <v>71</v>
      </c>
      <c r="I139" t="s">
        <v>55</v>
      </c>
      <c r="J139" t="s">
        <v>90</v>
      </c>
      <c r="K139">
        <v>11</v>
      </c>
      <c r="L139" s="2">
        <v>130</v>
      </c>
      <c r="M139" s="2">
        <v>62</v>
      </c>
      <c r="N139" s="3">
        <v>0.1</v>
      </c>
      <c r="O139" s="2">
        <v>1287</v>
      </c>
      <c r="P139" s="2">
        <v>25.74</v>
      </c>
      <c r="Q139" s="2">
        <v>605</v>
      </c>
      <c r="R139" s="3">
        <v>0.47008547008547008</v>
      </c>
    </row>
    <row r="140" spans="1:18" x14ac:dyDescent="0.45">
      <c r="A140" t="s">
        <v>216</v>
      </c>
      <c r="B140" s="1">
        <v>45597</v>
      </c>
      <c r="C140" t="s">
        <v>80</v>
      </c>
      <c r="D140" t="s">
        <v>283</v>
      </c>
      <c r="E140" t="s">
        <v>24</v>
      </c>
      <c r="F140" t="s">
        <v>23</v>
      </c>
      <c r="G140" t="s">
        <v>25</v>
      </c>
      <c r="H140" t="s">
        <v>59</v>
      </c>
      <c r="I140" t="s">
        <v>67</v>
      </c>
      <c r="J140" t="s">
        <v>81</v>
      </c>
      <c r="K140">
        <v>17</v>
      </c>
      <c r="L140" s="2">
        <v>1750</v>
      </c>
      <c r="M140" s="2">
        <v>1300</v>
      </c>
      <c r="N140" s="3">
        <v>0.15</v>
      </c>
      <c r="O140" s="2">
        <v>25287.5</v>
      </c>
      <c r="P140" s="2">
        <v>1517.25</v>
      </c>
      <c r="Q140" s="2">
        <v>3187.5</v>
      </c>
      <c r="R140" s="3">
        <v>0.12605042016806722</v>
      </c>
    </row>
    <row r="141" spans="1:18" x14ac:dyDescent="0.45">
      <c r="A141" t="s">
        <v>217</v>
      </c>
      <c r="B141" s="1">
        <v>45335</v>
      </c>
      <c r="C141" t="s">
        <v>73</v>
      </c>
      <c r="D141" t="s">
        <v>282</v>
      </c>
      <c r="E141" t="s">
        <v>31</v>
      </c>
      <c r="F141" t="s">
        <v>30</v>
      </c>
      <c r="G141" t="s">
        <v>32</v>
      </c>
      <c r="H141" t="s">
        <v>71</v>
      </c>
      <c r="I141" t="s">
        <v>67</v>
      </c>
      <c r="J141" t="s">
        <v>74</v>
      </c>
      <c r="K141">
        <v>16</v>
      </c>
      <c r="L141" s="2">
        <v>95</v>
      </c>
      <c r="M141" s="2">
        <v>44</v>
      </c>
      <c r="N141" s="3">
        <v>0.15</v>
      </c>
      <c r="O141" s="2">
        <v>1292</v>
      </c>
      <c r="P141" s="2">
        <v>25.84</v>
      </c>
      <c r="Q141" s="2">
        <v>588</v>
      </c>
      <c r="R141" s="3">
        <v>0.45510835913312686</v>
      </c>
    </row>
    <row r="142" spans="1:18" x14ac:dyDescent="0.45">
      <c r="A142" t="s">
        <v>218</v>
      </c>
      <c r="B142" s="1">
        <v>45645</v>
      </c>
      <c r="C142" t="s">
        <v>77</v>
      </c>
      <c r="D142" t="s">
        <v>286</v>
      </c>
      <c r="E142" t="s">
        <v>28</v>
      </c>
      <c r="F142" t="s">
        <v>30</v>
      </c>
      <c r="G142" t="s">
        <v>29</v>
      </c>
      <c r="H142" t="s">
        <v>54</v>
      </c>
      <c r="I142" t="s">
        <v>60</v>
      </c>
      <c r="J142" t="s">
        <v>78</v>
      </c>
      <c r="K142">
        <v>16</v>
      </c>
      <c r="L142" s="2">
        <v>210</v>
      </c>
      <c r="M142" s="2">
        <v>120</v>
      </c>
      <c r="N142" s="3">
        <v>0.15</v>
      </c>
      <c r="O142" s="2">
        <v>2856</v>
      </c>
      <c r="P142" s="2">
        <v>57.12</v>
      </c>
      <c r="Q142" s="2">
        <v>936</v>
      </c>
      <c r="R142" s="3">
        <v>0.32773109243697479</v>
      </c>
    </row>
    <row r="143" spans="1:18" x14ac:dyDescent="0.45">
      <c r="A143" t="s">
        <v>219</v>
      </c>
      <c r="B143" s="1">
        <v>45300</v>
      </c>
      <c r="C143" t="s">
        <v>53</v>
      </c>
      <c r="D143" t="s">
        <v>280</v>
      </c>
      <c r="E143" t="s">
        <v>14</v>
      </c>
      <c r="F143" t="s">
        <v>16</v>
      </c>
      <c r="G143" t="s">
        <v>15</v>
      </c>
      <c r="H143" t="s">
        <v>59</v>
      </c>
      <c r="I143" t="s">
        <v>55</v>
      </c>
      <c r="J143" t="s">
        <v>56</v>
      </c>
      <c r="K143">
        <v>13</v>
      </c>
      <c r="L143" s="2">
        <v>240</v>
      </c>
      <c r="M143" s="2">
        <v>150</v>
      </c>
      <c r="N143" s="3">
        <v>0.1</v>
      </c>
      <c r="O143" s="2">
        <v>2808</v>
      </c>
      <c r="P143" s="2">
        <v>56.16</v>
      </c>
      <c r="Q143" s="2">
        <v>858</v>
      </c>
      <c r="R143" s="3">
        <v>0.30555555555555558</v>
      </c>
    </row>
    <row r="144" spans="1:18" x14ac:dyDescent="0.45">
      <c r="A144" t="s">
        <v>220</v>
      </c>
      <c r="B144" s="1">
        <v>45448</v>
      </c>
      <c r="C144" t="s">
        <v>133</v>
      </c>
      <c r="D144" t="s">
        <v>288</v>
      </c>
      <c r="E144" t="s">
        <v>17</v>
      </c>
      <c r="F144" t="s">
        <v>16</v>
      </c>
      <c r="G144" t="s">
        <v>18</v>
      </c>
      <c r="H144" t="s">
        <v>71</v>
      </c>
      <c r="I144" t="s">
        <v>67</v>
      </c>
      <c r="J144" t="s">
        <v>134</v>
      </c>
      <c r="K144">
        <v>18</v>
      </c>
      <c r="L144" s="2">
        <v>520</v>
      </c>
      <c r="M144" s="2">
        <v>360</v>
      </c>
      <c r="N144" s="3">
        <v>0.15</v>
      </c>
      <c r="O144" s="2">
        <v>7956</v>
      </c>
      <c r="P144" s="2">
        <v>318.24</v>
      </c>
      <c r="Q144" s="2">
        <v>1476</v>
      </c>
      <c r="R144" s="3">
        <v>0.18552036199095023</v>
      </c>
    </row>
    <row r="145" spans="1:18" x14ac:dyDescent="0.45">
      <c r="A145" t="s">
        <v>221</v>
      </c>
      <c r="B145" s="1">
        <v>45509</v>
      </c>
      <c r="C145" t="s">
        <v>66</v>
      </c>
      <c r="D145" t="s">
        <v>287</v>
      </c>
      <c r="E145" t="s">
        <v>17</v>
      </c>
      <c r="F145" t="s">
        <v>16</v>
      </c>
      <c r="G145" t="s">
        <v>18</v>
      </c>
      <c r="H145" t="s">
        <v>71</v>
      </c>
      <c r="I145" t="s">
        <v>67</v>
      </c>
      <c r="J145" t="s">
        <v>68</v>
      </c>
      <c r="K145">
        <v>23</v>
      </c>
      <c r="L145" s="2">
        <v>520</v>
      </c>
      <c r="M145" s="2">
        <v>360</v>
      </c>
      <c r="N145" s="3">
        <v>0.2</v>
      </c>
      <c r="O145" s="2">
        <v>9568</v>
      </c>
      <c r="P145" s="2">
        <v>382.72</v>
      </c>
      <c r="Q145" s="2">
        <v>1288</v>
      </c>
      <c r="R145" s="3">
        <v>0.13461538461538461</v>
      </c>
    </row>
    <row r="146" spans="1:18" x14ac:dyDescent="0.45">
      <c r="A146" t="s">
        <v>222</v>
      </c>
      <c r="B146" s="1">
        <v>45430</v>
      </c>
      <c r="C146" t="s">
        <v>80</v>
      </c>
      <c r="D146" t="s">
        <v>283</v>
      </c>
      <c r="E146" t="s">
        <v>14</v>
      </c>
      <c r="F146" t="s">
        <v>16</v>
      </c>
      <c r="G146" t="s">
        <v>15</v>
      </c>
      <c r="H146" t="s">
        <v>59</v>
      </c>
      <c r="I146" t="s">
        <v>67</v>
      </c>
      <c r="J146" t="s">
        <v>81</v>
      </c>
      <c r="K146">
        <v>4</v>
      </c>
      <c r="L146" s="2">
        <v>240</v>
      </c>
      <c r="M146" s="2">
        <v>150</v>
      </c>
      <c r="N146" s="3">
        <v>0</v>
      </c>
      <c r="O146" s="2">
        <v>960</v>
      </c>
      <c r="P146" s="2">
        <v>19.2</v>
      </c>
      <c r="Q146" s="2">
        <v>360</v>
      </c>
      <c r="R146" s="3">
        <v>0.375</v>
      </c>
    </row>
    <row r="147" spans="1:18" x14ac:dyDescent="0.45">
      <c r="A147" t="s">
        <v>223</v>
      </c>
      <c r="B147" s="1">
        <v>45453</v>
      </c>
      <c r="C147" t="s">
        <v>53</v>
      </c>
      <c r="D147" t="s">
        <v>280</v>
      </c>
      <c r="E147" t="s">
        <v>31</v>
      </c>
      <c r="F147" t="s">
        <v>30</v>
      </c>
      <c r="G147" t="s">
        <v>32</v>
      </c>
      <c r="H147" t="s">
        <v>54</v>
      </c>
      <c r="I147" t="s">
        <v>55</v>
      </c>
      <c r="J147" t="s">
        <v>56</v>
      </c>
      <c r="K147">
        <v>25</v>
      </c>
      <c r="L147" s="2">
        <v>95</v>
      </c>
      <c r="M147" s="2">
        <v>44</v>
      </c>
      <c r="N147" s="3">
        <v>0.2</v>
      </c>
      <c r="O147" s="2">
        <v>1900</v>
      </c>
      <c r="P147" s="2">
        <v>38</v>
      </c>
      <c r="Q147" s="2">
        <v>800</v>
      </c>
      <c r="R147" s="3">
        <v>0.42105263157894735</v>
      </c>
    </row>
    <row r="148" spans="1:18" x14ac:dyDescent="0.45">
      <c r="A148" t="s">
        <v>224</v>
      </c>
      <c r="B148" s="1">
        <v>45390</v>
      </c>
      <c r="C148" t="s">
        <v>73</v>
      </c>
      <c r="D148" t="s">
        <v>282</v>
      </c>
      <c r="E148" t="s">
        <v>31</v>
      </c>
      <c r="F148" t="s">
        <v>30</v>
      </c>
      <c r="G148" t="s">
        <v>32</v>
      </c>
      <c r="H148" t="s">
        <v>71</v>
      </c>
      <c r="I148" t="s">
        <v>67</v>
      </c>
      <c r="J148" t="s">
        <v>74</v>
      </c>
      <c r="K148">
        <v>9</v>
      </c>
      <c r="L148" s="2">
        <v>95</v>
      </c>
      <c r="M148" s="2">
        <v>44</v>
      </c>
      <c r="N148" s="3">
        <v>0.05</v>
      </c>
      <c r="O148" s="2">
        <v>812.25</v>
      </c>
      <c r="P148" s="2">
        <v>16.245000000000001</v>
      </c>
      <c r="Q148" s="2">
        <v>416.25</v>
      </c>
      <c r="R148" s="3">
        <v>0.51246537396121883</v>
      </c>
    </row>
    <row r="149" spans="1:18" x14ac:dyDescent="0.45">
      <c r="A149" t="s">
        <v>225</v>
      </c>
      <c r="B149" s="1">
        <v>45343</v>
      </c>
      <c r="C149" t="s">
        <v>73</v>
      </c>
      <c r="D149" t="s">
        <v>282</v>
      </c>
      <c r="E149" t="s">
        <v>14</v>
      </c>
      <c r="F149" t="s">
        <v>16</v>
      </c>
      <c r="G149" t="s">
        <v>15</v>
      </c>
      <c r="H149" t="s">
        <v>59</v>
      </c>
      <c r="I149" t="s">
        <v>67</v>
      </c>
      <c r="J149" t="s">
        <v>74</v>
      </c>
      <c r="K149">
        <v>12</v>
      </c>
      <c r="L149" s="2">
        <v>240</v>
      </c>
      <c r="M149" s="2">
        <v>150</v>
      </c>
      <c r="N149" s="3">
        <v>0.1</v>
      </c>
      <c r="O149" s="2">
        <v>2592</v>
      </c>
      <c r="P149" s="2">
        <v>51.84</v>
      </c>
      <c r="Q149" s="2">
        <v>792</v>
      </c>
      <c r="R149" s="3">
        <v>0.30555555555555558</v>
      </c>
    </row>
    <row r="150" spans="1:18" x14ac:dyDescent="0.45">
      <c r="A150" t="s">
        <v>226</v>
      </c>
      <c r="B150" s="1">
        <v>45446</v>
      </c>
      <c r="C150" t="s">
        <v>128</v>
      </c>
      <c r="D150" t="s">
        <v>279</v>
      </c>
      <c r="E150" t="s">
        <v>31</v>
      </c>
      <c r="F150" t="s">
        <v>30</v>
      </c>
      <c r="G150" t="s">
        <v>32</v>
      </c>
      <c r="H150" t="s">
        <v>54</v>
      </c>
      <c r="I150" t="s">
        <v>55</v>
      </c>
      <c r="J150" t="s">
        <v>129</v>
      </c>
      <c r="K150">
        <v>5</v>
      </c>
      <c r="L150" s="2">
        <v>95</v>
      </c>
      <c r="M150" s="2">
        <v>44</v>
      </c>
      <c r="N150" s="3">
        <v>0</v>
      </c>
      <c r="O150" s="2">
        <v>475</v>
      </c>
      <c r="P150" s="2">
        <v>9.5</v>
      </c>
      <c r="Q150" s="2">
        <v>255</v>
      </c>
      <c r="R150" s="3">
        <v>0.5368421052631579</v>
      </c>
    </row>
    <row r="151" spans="1:18" x14ac:dyDescent="0.45">
      <c r="A151" t="s">
        <v>227</v>
      </c>
      <c r="B151" s="1">
        <v>45315</v>
      </c>
      <c r="C151" t="s">
        <v>128</v>
      </c>
      <c r="D151" t="s">
        <v>279</v>
      </c>
      <c r="E151" t="s">
        <v>24</v>
      </c>
      <c r="F151" t="s">
        <v>23</v>
      </c>
      <c r="G151" t="s">
        <v>25</v>
      </c>
      <c r="H151" t="s">
        <v>71</v>
      </c>
      <c r="I151" t="s">
        <v>55</v>
      </c>
      <c r="J151" t="s">
        <v>129</v>
      </c>
      <c r="K151">
        <v>23</v>
      </c>
      <c r="L151" s="2">
        <v>1750</v>
      </c>
      <c r="M151" s="2">
        <v>1300</v>
      </c>
      <c r="N151" s="3">
        <v>0.2</v>
      </c>
      <c r="O151" s="2">
        <v>32200</v>
      </c>
      <c r="P151" s="2">
        <v>1932</v>
      </c>
      <c r="Q151" s="2">
        <v>2300</v>
      </c>
      <c r="R151" s="3">
        <v>7.1428571428571425E-2</v>
      </c>
    </row>
    <row r="152" spans="1:18" x14ac:dyDescent="0.45">
      <c r="A152" t="s">
        <v>228</v>
      </c>
      <c r="B152" s="1">
        <v>45618</v>
      </c>
      <c r="C152" t="s">
        <v>77</v>
      </c>
      <c r="D152" t="s">
        <v>286</v>
      </c>
      <c r="E152" t="s">
        <v>8</v>
      </c>
      <c r="F152" t="s">
        <v>7</v>
      </c>
      <c r="G152" t="s">
        <v>9</v>
      </c>
      <c r="H152" t="s">
        <v>59</v>
      </c>
      <c r="I152" t="s">
        <v>60</v>
      </c>
      <c r="J152" t="s">
        <v>78</v>
      </c>
      <c r="K152">
        <v>19</v>
      </c>
      <c r="L152" s="2">
        <v>79</v>
      </c>
      <c r="M152" s="2">
        <v>38</v>
      </c>
      <c r="N152" s="3">
        <v>0.15</v>
      </c>
      <c r="O152" s="2">
        <v>1275.8499999999999</v>
      </c>
      <c r="P152" s="2">
        <v>25.516999999999999</v>
      </c>
      <c r="Q152" s="2">
        <v>553.85</v>
      </c>
      <c r="R152" s="3">
        <v>0.43410275502606094</v>
      </c>
    </row>
    <row r="153" spans="1:18" x14ac:dyDescent="0.45">
      <c r="A153" t="s">
        <v>229</v>
      </c>
      <c r="B153" s="1">
        <v>45532</v>
      </c>
      <c r="C153" t="s">
        <v>77</v>
      </c>
      <c r="D153" t="s">
        <v>286</v>
      </c>
      <c r="E153" t="s">
        <v>21</v>
      </c>
      <c r="F153" t="s">
        <v>23</v>
      </c>
      <c r="G153" t="s">
        <v>22</v>
      </c>
      <c r="H153" t="s">
        <v>71</v>
      </c>
      <c r="I153" t="s">
        <v>60</v>
      </c>
      <c r="J153" t="s">
        <v>78</v>
      </c>
      <c r="K153">
        <v>6</v>
      </c>
      <c r="L153" s="2">
        <v>1150</v>
      </c>
      <c r="M153" s="2">
        <v>820</v>
      </c>
      <c r="N153" s="3">
        <v>0.05</v>
      </c>
      <c r="O153" s="2">
        <v>6555</v>
      </c>
      <c r="P153" s="2">
        <v>262.2</v>
      </c>
      <c r="Q153" s="2">
        <v>1635</v>
      </c>
      <c r="R153" s="3">
        <v>0.2494279176201373</v>
      </c>
    </row>
    <row r="154" spans="1:18" x14ac:dyDescent="0.45">
      <c r="A154" t="s">
        <v>230</v>
      </c>
      <c r="B154" s="1">
        <v>45421</v>
      </c>
      <c r="C154" t="s">
        <v>77</v>
      </c>
      <c r="D154" t="s">
        <v>286</v>
      </c>
      <c r="E154" t="s">
        <v>8</v>
      </c>
      <c r="F154" t="s">
        <v>7</v>
      </c>
      <c r="G154" t="s">
        <v>9</v>
      </c>
      <c r="H154" t="s">
        <v>59</v>
      </c>
      <c r="I154" t="s">
        <v>60</v>
      </c>
      <c r="J154" t="s">
        <v>78</v>
      </c>
      <c r="K154">
        <v>13</v>
      </c>
      <c r="L154" s="2">
        <v>79</v>
      </c>
      <c r="M154" s="2">
        <v>38</v>
      </c>
      <c r="N154" s="3">
        <v>0.1</v>
      </c>
      <c r="O154" s="2">
        <v>924.3</v>
      </c>
      <c r="P154" s="2">
        <v>18.486000000000001</v>
      </c>
      <c r="Q154" s="2">
        <v>430.3</v>
      </c>
      <c r="R154" s="3">
        <v>0.4655414908579466</v>
      </c>
    </row>
    <row r="155" spans="1:18" x14ac:dyDescent="0.45">
      <c r="A155" t="s">
        <v>231</v>
      </c>
      <c r="B155" s="1">
        <v>45329</v>
      </c>
      <c r="C155" t="s">
        <v>133</v>
      </c>
      <c r="D155" t="s">
        <v>288</v>
      </c>
      <c r="E155" t="s">
        <v>28</v>
      </c>
      <c r="F155" t="s">
        <v>30</v>
      </c>
      <c r="G155" t="s">
        <v>29</v>
      </c>
      <c r="H155" t="s">
        <v>54</v>
      </c>
      <c r="I155" t="s">
        <v>67</v>
      </c>
      <c r="J155" t="s">
        <v>134</v>
      </c>
      <c r="K155">
        <v>2</v>
      </c>
      <c r="L155" s="2">
        <v>210</v>
      </c>
      <c r="M155" s="2">
        <v>120</v>
      </c>
      <c r="N155" s="3">
        <v>0</v>
      </c>
      <c r="O155" s="2">
        <v>420</v>
      </c>
      <c r="P155" s="2">
        <v>8.4</v>
      </c>
      <c r="Q155" s="2">
        <v>180</v>
      </c>
      <c r="R155" s="3">
        <v>0.42857142857142855</v>
      </c>
    </row>
    <row r="156" spans="1:18" x14ac:dyDescent="0.45">
      <c r="A156" t="s">
        <v>232</v>
      </c>
      <c r="B156" s="1">
        <v>45368</v>
      </c>
      <c r="C156" t="s">
        <v>133</v>
      </c>
      <c r="D156" t="s">
        <v>288</v>
      </c>
      <c r="E156" t="s">
        <v>14</v>
      </c>
      <c r="F156" t="s">
        <v>16</v>
      </c>
      <c r="G156" t="s">
        <v>15</v>
      </c>
      <c r="H156" t="s">
        <v>59</v>
      </c>
      <c r="I156" t="s">
        <v>67</v>
      </c>
      <c r="J156" t="s">
        <v>134</v>
      </c>
      <c r="K156">
        <v>8</v>
      </c>
      <c r="L156" s="2">
        <v>240</v>
      </c>
      <c r="M156" s="2">
        <v>150</v>
      </c>
      <c r="N156" s="3">
        <v>0.05</v>
      </c>
      <c r="O156" s="2">
        <v>1824</v>
      </c>
      <c r="P156" s="2">
        <v>36.479999999999997</v>
      </c>
      <c r="Q156" s="2">
        <v>624</v>
      </c>
      <c r="R156" s="3">
        <v>0.34210526315789475</v>
      </c>
    </row>
    <row r="157" spans="1:18" x14ac:dyDescent="0.45">
      <c r="A157" t="s">
        <v>233</v>
      </c>
      <c r="B157" s="1">
        <v>45577</v>
      </c>
      <c r="C157" t="s">
        <v>63</v>
      </c>
      <c r="D157" t="s">
        <v>285</v>
      </c>
      <c r="E157" t="s">
        <v>26</v>
      </c>
      <c r="F157" t="s">
        <v>23</v>
      </c>
      <c r="G157" t="s">
        <v>27</v>
      </c>
      <c r="H157" t="s">
        <v>54</v>
      </c>
      <c r="I157" t="s">
        <v>55</v>
      </c>
      <c r="J157" t="s">
        <v>64</v>
      </c>
      <c r="K157">
        <v>20</v>
      </c>
      <c r="L157" s="2">
        <v>1050</v>
      </c>
      <c r="M157" s="2">
        <v>760</v>
      </c>
      <c r="N157" s="3">
        <v>0.15</v>
      </c>
      <c r="O157" s="2">
        <v>17850</v>
      </c>
      <c r="P157" s="2">
        <v>1071</v>
      </c>
      <c r="Q157" s="2">
        <v>2650</v>
      </c>
      <c r="R157" s="3">
        <v>0.1484593837535014</v>
      </c>
    </row>
    <row r="158" spans="1:18" x14ac:dyDescent="0.45">
      <c r="A158" t="s">
        <v>234</v>
      </c>
      <c r="B158" s="1">
        <v>45559</v>
      </c>
      <c r="C158" t="s">
        <v>63</v>
      </c>
      <c r="D158" t="s">
        <v>285</v>
      </c>
      <c r="E158" t="s">
        <v>21</v>
      </c>
      <c r="F158" t="s">
        <v>23</v>
      </c>
      <c r="G158" t="s">
        <v>22</v>
      </c>
      <c r="H158" t="s">
        <v>71</v>
      </c>
      <c r="I158" t="s">
        <v>55</v>
      </c>
      <c r="J158" t="s">
        <v>64</v>
      </c>
      <c r="K158">
        <v>10</v>
      </c>
      <c r="L158" s="2">
        <v>1150</v>
      </c>
      <c r="M158" s="2">
        <v>820</v>
      </c>
      <c r="N158" s="3">
        <v>0.05</v>
      </c>
      <c r="O158" s="2">
        <v>10925</v>
      </c>
      <c r="P158" s="2">
        <v>437</v>
      </c>
      <c r="Q158" s="2">
        <v>2725</v>
      </c>
      <c r="R158" s="3">
        <v>0.2494279176201373</v>
      </c>
    </row>
    <row r="159" spans="1:18" x14ac:dyDescent="0.45">
      <c r="A159" t="s">
        <v>235</v>
      </c>
      <c r="B159" s="1">
        <v>45448</v>
      </c>
      <c r="C159" t="s">
        <v>133</v>
      </c>
      <c r="D159" t="s">
        <v>288</v>
      </c>
      <c r="E159" t="s">
        <v>26</v>
      </c>
      <c r="F159" t="s">
        <v>23</v>
      </c>
      <c r="G159" t="s">
        <v>27</v>
      </c>
      <c r="H159" t="s">
        <v>59</v>
      </c>
      <c r="I159" t="s">
        <v>67</v>
      </c>
      <c r="J159" t="s">
        <v>134</v>
      </c>
      <c r="K159">
        <v>20</v>
      </c>
      <c r="L159" s="2">
        <v>1050</v>
      </c>
      <c r="M159" s="2">
        <v>760</v>
      </c>
      <c r="N159" s="3">
        <v>0.15</v>
      </c>
      <c r="O159" s="2">
        <v>17850</v>
      </c>
      <c r="P159" s="2">
        <v>1071</v>
      </c>
      <c r="Q159" s="2">
        <v>2650</v>
      </c>
      <c r="R159" s="3">
        <v>0.1484593837535014</v>
      </c>
    </row>
    <row r="160" spans="1:18" x14ac:dyDescent="0.45">
      <c r="A160" t="s">
        <v>236</v>
      </c>
      <c r="B160" s="1">
        <v>45398</v>
      </c>
      <c r="C160" t="s">
        <v>73</v>
      </c>
      <c r="D160" t="s">
        <v>282</v>
      </c>
      <c r="E160" t="s">
        <v>14</v>
      </c>
      <c r="F160" t="s">
        <v>16</v>
      </c>
      <c r="G160" t="s">
        <v>15</v>
      </c>
      <c r="H160" t="s">
        <v>54</v>
      </c>
      <c r="I160" t="s">
        <v>67</v>
      </c>
      <c r="J160" t="s">
        <v>74</v>
      </c>
      <c r="K160">
        <v>3</v>
      </c>
      <c r="L160" s="2">
        <v>240</v>
      </c>
      <c r="M160" s="2">
        <v>150</v>
      </c>
      <c r="N160" s="3">
        <v>0</v>
      </c>
      <c r="O160" s="2">
        <v>720</v>
      </c>
      <c r="P160" s="2">
        <v>14.4</v>
      </c>
      <c r="Q160" s="2">
        <v>270</v>
      </c>
      <c r="R160" s="3">
        <v>0.375</v>
      </c>
    </row>
    <row r="161" spans="1:18" x14ac:dyDescent="0.45">
      <c r="A161" t="s">
        <v>237</v>
      </c>
      <c r="B161" s="1">
        <v>45414</v>
      </c>
      <c r="C161" t="s">
        <v>58</v>
      </c>
      <c r="D161" t="s">
        <v>281</v>
      </c>
      <c r="E161" t="s">
        <v>24</v>
      </c>
      <c r="F161" t="s">
        <v>23</v>
      </c>
      <c r="G161" t="s">
        <v>25</v>
      </c>
      <c r="H161" t="s">
        <v>59</v>
      </c>
      <c r="I161" t="s">
        <v>60</v>
      </c>
      <c r="J161" t="s">
        <v>61</v>
      </c>
      <c r="K161">
        <v>6</v>
      </c>
      <c r="L161" s="2">
        <v>1750</v>
      </c>
      <c r="M161" s="2">
        <v>1300</v>
      </c>
      <c r="N161" s="3">
        <v>0.05</v>
      </c>
      <c r="O161" s="2">
        <v>9975</v>
      </c>
      <c r="P161" s="2">
        <v>399</v>
      </c>
      <c r="Q161" s="2">
        <v>2175</v>
      </c>
      <c r="R161" s="3">
        <v>0.21804511278195488</v>
      </c>
    </row>
    <row r="162" spans="1:18" x14ac:dyDescent="0.45">
      <c r="A162" t="s">
        <v>238</v>
      </c>
      <c r="B162" s="1">
        <v>45501</v>
      </c>
      <c r="C162" t="s">
        <v>77</v>
      </c>
      <c r="D162" t="s">
        <v>286</v>
      </c>
      <c r="E162" t="s">
        <v>31</v>
      </c>
      <c r="F162" t="s">
        <v>30</v>
      </c>
      <c r="G162" t="s">
        <v>32</v>
      </c>
      <c r="H162" t="s">
        <v>54</v>
      </c>
      <c r="I162" t="s">
        <v>60</v>
      </c>
      <c r="J162" t="s">
        <v>78</v>
      </c>
      <c r="K162">
        <v>16</v>
      </c>
      <c r="L162" s="2">
        <v>95</v>
      </c>
      <c r="M162" s="2">
        <v>44</v>
      </c>
      <c r="N162" s="3">
        <v>0.15</v>
      </c>
      <c r="O162" s="2">
        <v>1292</v>
      </c>
      <c r="P162" s="2">
        <v>25.84</v>
      </c>
      <c r="Q162" s="2">
        <v>588</v>
      </c>
      <c r="R162" s="3">
        <v>0.45510835913312686</v>
      </c>
    </row>
    <row r="163" spans="1:18" x14ac:dyDescent="0.45">
      <c r="A163" t="s">
        <v>239</v>
      </c>
      <c r="B163" s="1">
        <v>45308</v>
      </c>
      <c r="C163" t="s">
        <v>73</v>
      </c>
      <c r="D163" t="s">
        <v>282</v>
      </c>
      <c r="E163" t="s">
        <v>14</v>
      </c>
      <c r="F163" t="s">
        <v>16</v>
      </c>
      <c r="G163" t="s">
        <v>15</v>
      </c>
      <c r="H163" t="s">
        <v>54</v>
      </c>
      <c r="I163" t="s">
        <v>67</v>
      </c>
      <c r="J163" t="s">
        <v>74</v>
      </c>
      <c r="K163">
        <v>10</v>
      </c>
      <c r="L163" s="2">
        <v>240</v>
      </c>
      <c r="M163" s="2">
        <v>150</v>
      </c>
      <c r="N163" s="3">
        <v>0.05</v>
      </c>
      <c r="O163" s="2">
        <v>2280</v>
      </c>
      <c r="P163" s="2">
        <v>45.6</v>
      </c>
      <c r="Q163" s="2">
        <v>780</v>
      </c>
      <c r="R163" s="3">
        <v>0.34210526315789475</v>
      </c>
    </row>
    <row r="164" spans="1:18" x14ac:dyDescent="0.45">
      <c r="A164" t="s">
        <v>240</v>
      </c>
      <c r="B164" s="1">
        <v>45328</v>
      </c>
      <c r="C164" t="s">
        <v>73</v>
      </c>
      <c r="D164" t="s">
        <v>282</v>
      </c>
      <c r="E164" t="s">
        <v>38</v>
      </c>
      <c r="F164" t="s">
        <v>37</v>
      </c>
      <c r="G164" t="s">
        <v>39</v>
      </c>
      <c r="H164" t="s">
        <v>71</v>
      </c>
      <c r="I164" t="s">
        <v>67</v>
      </c>
      <c r="J164" t="s">
        <v>74</v>
      </c>
      <c r="K164">
        <v>21</v>
      </c>
      <c r="L164" s="2">
        <v>160</v>
      </c>
      <c r="M164" s="2">
        <v>88</v>
      </c>
      <c r="N164" s="3">
        <v>0.2</v>
      </c>
      <c r="O164" s="2">
        <v>2688</v>
      </c>
      <c r="P164" s="2">
        <v>53.76</v>
      </c>
      <c r="Q164" s="2">
        <v>840</v>
      </c>
      <c r="R164" s="3">
        <v>0.3125</v>
      </c>
    </row>
    <row r="165" spans="1:18" x14ac:dyDescent="0.45">
      <c r="A165" t="s">
        <v>241</v>
      </c>
      <c r="B165" s="1">
        <v>45509</v>
      </c>
      <c r="C165" t="s">
        <v>53</v>
      </c>
      <c r="D165" t="s">
        <v>280</v>
      </c>
      <c r="E165" t="s">
        <v>24</v>
      </c>
      <c r="F165" t="s">
        <v>23</v>
      </c>
      <c r="G165" t="s">
        <v>25</v>
      </c>
      <c r="H165" t="s">
        <v>59</v>
      </c>
      <c r="I165" t="s">
        <v>55</v>
      </c>
      <c r="J165" t="s">
        <v>56</v>
      </c>
      <c r="K165">
        <v>21</v>
      </c>
      <c r="L165" s="2">
        <v>1750</v>
      </c>
      <c r="M165" s="2">
        <v>1300</v>
      </c>
      <c r="N165" s="3">
        <v>0.2</v>
      </c>
      <c r="O165" s="2">
        <v>29400</v>
      </c>
      <c r="P165" s="2">
        <v>1764</v>
      </c>
      <c r="Q165" s="2">
        <v>2100</v>
      </c>
      <c r="R165" s="3">
        <v>7.1428571428571425E-2</v>
      </c>
    </row>
    <row r="166" spans="1:18" x14ac:dyDescent="0.45">
      <c r="A166" t="s">
        <v>242</v>
      </c>
      <c r="B166" s="1">
        <v>45428</v>
      </c>
      <c r="C166" t="s">
        <v>58</v>
      </c>
      <c r="D166" t="s">
        <v>281</v>
      </c>
      <c r="E166" t="s">
        <v>8</v>
      </c>
      <c r="F166" t="s">
        <v>7</v>
      </c>
      <c r="G166" t="s">
        <v>9</v>
      </c>
      <c r="H166" t="s">
        <v>59</v>
      </c>
      <c r="I166" t="s">
        <v>60</v>
      </c>
      <c r="J166" t="s">
        <v>61</v>
      </c>
      <c r="K166">
        <v>6</v>
      </c>
      <c r="L166" s="2">
        <v>79</v>
      </c>
      <c r="M166" s="2">
        <v>38</v>
      </c>
      <c r="N166" s="3">
        <v>0.05</v>
      </c>
      <c r="O166" s="2">
        <v>450.3</v>
      </c>
      <c r="P166" s="2">
        <v>9.0060000000000002</v>
      </c>
      <c r="Q166" s="2">
        <v>222.3</v>
      </c>
      <c r="R166" s="3">
        <v>0.49367088607594933</v>
      </c>
    </row>
    <row r="167" spans="1:18" x14ac:dyDescent="0.45">
      <c r="A167" t="s">
        <v>243</v>
      </c>
      <c r="B167" s="1">
        <v>45596</v>
      </c>
      <c r="C167" t="s">
        <v>133</v>
      </c>
      <c r="D167" t="s">
        <v>288</v>
      </c>
      <c r="E167" t="s">
        <v>38</v>
      </c>
      <c r="F167" t="s">
        <v>37</v>
      </c>
      <c r="G167" t="s">
        <v>39</v>
      </c>
      <c r="H167" t="s">
        <v>71</v>
      </c>
      <c r="I167" t="s">
        <v>67</v>
      </c>
      <c r="J167" t="s">
        <v>134</v>
      </c>
      <c r="K167">
        <v>15</v>
      </c>
      <c r="L167" s="2">
        <v>160</v>
      </c>
      <c r="M167" s="2">
        <v>88</v>
      </c>
      <c r="N167" s="3">
        <v>0.1</v>
      </c>
      <c r="O167" s="2">
        <v>2160</v>
      </c>
      <c r="P167" s="2">
        <v>43.2</v>
      </c>
      <c r="Q167" s="2">
        <v>840</v>
      </c>
      <c r="R167" s="3">
        <v>0.3888888888888889</v>
      </c>
    </row>
    <row r="168" spans="1:18" x14ac:dyDescent="0.45">
      <c r="A168" t="s">
        <v>244</v>
      </c>
      <c r="B168" s="1">
        <v>45531</v>
      </c>
      <c r="C168" t="s">
        <v>80</v>
      </c>
      <c r="D168" t="s">
        <v>283</v>
      </c>
      <c r="E168" t="s">
        <v>31</v>
      </c>
      <c r="F168" t="s">
        <v>30</v>
      </c>
      <c r="G168" t="s">
        <v>32</v>
      </c>
      <c r="H168" t="s">
        <v>71</v>
      </c>
      <c r="I168" t="s">
        <v>67</v>
      </c>
      <c r="J168" t="s">
        <v>81</v>
      </c>
      <c r="K168">
        <v>9</v>
      </c>
      <c r="L168" s="2">
        <v>95</v>
      </c>
      <c r="M168" s="2">
        <v>44</v>
      </c>
      <c r="N168" s="3">
        <v>0.05</v>
      </c>
      <c r="O168" s="2">
        <v>812.25</v>
      </c>
      <c r="P168" s="2">
        <v>16.245000000000001</v>
      </c>
      <c r="Q168" s="2">
        <v>416.25</v>
      </c>
      <c r="R168" s="3">
        <v>0.51246537396121883</v>
      </c>
    </row>
    <row r="169" spans="1:18" x14ac:dyDescent="0.45">
      <c r="A169" t="s">
        <v>245</v>
      </c>
      <c r="B169" s="1">
        <v>45516</v>
      </c>
      <c r="C169" t="s">
        <v>53</v>
      </c>
      <c r="D169" t="s">
        <v>280</v>
      </c>
      <c r="E169" t="s">
        <v>26</v>
      </c>
      <c r="F169" t="s">
        <v>23</v>
      </c>
      <c r="G169" t="s">
        <v>27</v>
      </c>
      <c r="H169" t="s">
        <v>59</v>
      </c>
      <c r="I169" t="s">
        <v>55</v>
      </c>
      <c r="J169" t="s">
        <v>56</v>
      </c>
      <c r="K169">
        <v>14</v>
      </c>
      <c r="L169" s="2">
        <v>1050</v>
      </c>
      <c r="M169" s="2">
        <v>760</v>
      </c>
      <c r="N169" s="3">
        <v>0.1</v>
      </c>
      <c r="O169" s="2">
        <v>13230</v>
      </c>
      <c r="P169" s="2">
        <v>529.20000000000005</v>
      </c>
      <c r="Q169" s="2">
        <v>2590</v>
      </c>
      <c r="R169" s="3">
        <v>0.19576719576719576</v>
      </c>
    </row>
    <row r="170" spans="1:18" x14ac:dyDescent="0.45">
      <c r="A170" t="s">
        <v>246</v>
      </c>
      <c r="B170" s="1">
        <v>45601</v>
      </c>
      <c r="C170" t="s">
        <v>80</v>
      </c>
      <c r="D170" t="s">
        <v>283</v>
      </c>
      <c r="E170" t="s">
        <v>5</v>
      </c>
      <c r="F170" t="s">
        <v>7</v>
      </c>
      <c r="G170" t="s">
        <v>6</v>
      </c>
      <c r="H170" t="s">
        <v>59</v>
      </c>
      <c r="I170" t="s">
        <v>67</v>
      </c>
      <c r="J170" t="s">
        <v>81</v>
      </c>
      <c r="K170">
        <v>8</v>
      </c>
      <c r="L170" s="2">
        <v>25</v>
      </c>
      <c r="M170" s="2">
        <v>11</v>
      </c>
      <c r="N170" s="3">
        <v>0.05</v>
      </c>
      <c r="O170" s="2">
        <v>190</v>
      </c>
      <c r="P170" s="2">
        <v>3.8</v>
      </c>
      <c r="Q170" s="2">
        <v>102</v>
      </c>
      <c r="R170" s="3">
        <v>0.5368421052631579</v>
      </c>
    </row>
    <row r="171" spans="1:18" x14ac:dyDescent="0.45">
      <c r="A171" t="s">
        <v>247</v>
      </c>
      <c r="B171" s="1">
        <v>45636</v>
      </c>
      <c r="C171" t="s">
        <v>80</v>
      </c>
      <c r="D171" t="s">
        <v>283</v>
      </c>
      <c r="E171" t="s">
        <v>26</v>
      </c>
      <c r="F171" t="s">
        <v>23</v>
      </c>
      <c r="G171" t="s">
        <v>27</v>
      </c>
      <c r="H171" t="s">
        <v>59</v>
      </c>
      <c r="I171" t="s">
        <v>67</v>
      </c>
      <c r="J171" t="s">
        <v>81</v>
      </c>
      <c r="K171">
        <v>25</v>
      </c>
      <c r="L171" s="2">
        <v>1050</v>
      </c>
      <c r="M171" s="2">
        <v>760</v>
      </c>
      <c r="N171" s="3">
        <v>0.2</v>
      </c>
      <c r="O171" s="2">
        <v>21000</v>
      </c>
      <c r="P171" s="2">
        <v>1260</v>
      </c>
      <c r="Q171" s="2">
        <v>2000</v>
      </c>
      <c r="R171" s="3">
        <v>9.5238095238095233E-2</v>
      </c>
    </row>
    <row r="172" spans="1:18" x14ac:dyDescent="0.45">
      <c r="A172" t="s">
        <v>248</v>
      </c>
      <c r="B172" s="1">
        <v>45532</v>
      </c>
      <c r="C172" t="s">
        <v>66</v>
      </c>
      <c r="D172" t="s">
        <v>287</v>
      </c>
      <c r="E172" t="s">
        <v>28</v>
      </c>
      <c r="F172" t="s">
        <v>30</v>
      </c>
      <c r="G172" t="s">
        <v>29</v>
      </c>
      <c r="H172" t="s">
        <v>71</v>
      </c>
      <c r="I172" t="s">
        <v>67</v>
      </c>
      <c r="J172" t="s">
        <v>68</v>
      </c>
      <c r="K172">
        <v>9</v>
      </c>
      <c r="L172" s="2">
        <v>210</v>
      </c>
      <c r="M172" s="2">
        <v>120</v>
      </c>
      <c r="N172" s="3">
        <v>0.05</v>
      </c>
      <c r="O172" s="2">
        <v>1795.5</v>
      </c>
      <c r="P172" s="2">
        <v>35.909999999999997</v>
      </c>
      <c r="Q172" s="2">
        <v>715.5</v>
      </c>
      <c r="R172" s="3">
        <v>0.39849624060150374</v>
      </c>
    </row>
    <row r="173" spans="1:18" x14ac:dyDescent="0.45">
      <c r="A173" t="s">
        <v>249</v>
      </c>
      <c r="B173" s="1">
        <v>45591</v>
      </c>
      <c r="C173" t="s">
        <v>63</v>
      </c>
      <c r="D173" t="s">
        <v>285</v>
      </c>
      <c r="E173" t="s">
        <v>28</v>
      </c>
      <c r="F173" t="s">
        <v>30</v>
      </c>
      <c r="G173" t="s">
        <v>29</v>
      </c>
      <c r="H173" t="s">
        <v>71</v>
      </c>
      <c r="I173" t="s">
        <v>55</v>
      </c>
      <c r="J173" t="s">
        <v>64</v>
      </c>
      <c r="K173">
        <v>3</v>
      </c>
      <c r="L173" s="2">
        <v>210</v>
      </c>
      <c r="M173" s="2">
        <v>120</v>
      </c>
      <c r="N173" s="3">
        <v>0</v>
      </c>
      <c r="O173" s="2">
        <v>630</v>
      </c>
      <c r="P173" s="2">
        <v>12.6</v>
      </c>
      <c r="Q173" s="2">
        <v>270</v>
      </c>
      <c r="R173" s="3">
        <v>0.42857142857142855</v>
      </c>
    </row>
    <row r="174" spans="1:18" x14ac:dyDescent="0.45">
      <c r="A174" t="s">
        <v>250</v>
      </c>
      <c r="B174" s="1">
        <v>45470</v>
      </c>
      <c r="C174" t="s">
        <v>63</v>
      </c>
      <c r="D174" t="s">
        <v>285</v>
      </c>
      <c r="E174" t="s">
        <v>17</v>
      </c>
      <c r="F174" t="s">
        <v>16</v>
      </c>
      <c r="G174" t="s">
        <v>18</v>
      </c>
      <c r="H174" t="s">
        <v>71</v>
      </c>
      <c r="I174" t="s">
        <v>55</v>
      </c>
      <c r="J174" t="s">
        <v>64</v>
      </c>
      <c r="K174">
        <v>22</v>
      </c>
      <c r="L174" s="2">
        <v>520</v>
      </c>
      <c r="M174" s="2">
        <v>360</v>
      </c>
      <c r="N174" s="3">
        <v>0.2</v>
      </c>
      <c r="O174" s="2">
        <v>9152</v>
      </c>
      <c r="P174" s="2">
        <v>366.08</v>
      </c>
      <c r="Q174" s="2">
        <v>1232</v>
      </c>
      <c r="R174" s="3">
        <v>0.13461538461538461</v>
      </c>
    </row>
    <row r="175" spans="1:18" x14ac:dyDescent="0.45">
      <c r="A175" t="s">
        <v>251</v>
      </c>
      <c r="B175" s="1">
        <v>45374</v>
      </c>
      <c r="C175" t="s">
        <v>89</v>
      </c>
      <c r="D175" t="s">
        <v>284</v>
      </c>
      <c r="E175" t="s">
        <v>19</v>
      </c>
      <c r="F175" t="s">
        <v>16</v>
      </c>
      <c r="G175" t="s">
        <v>20</v>
      </c>
      <c r="H175" t="s">
        <v>54</v>
      </c>
      <c r="I175" t="s">
        <v>55</v>
      </c>
      <c r="J175" t="s">
        <v>90</v>
      </c>
      <c r="K175">
        <v>16</v>
      </c>
      <c r="L175" s="2">
        <v>180</v>
      </c>
      <c r="M175" s="2">
        <v>105</v>
      </c>
      <c r="N175" s="3">
        <v>0.15</v>
      </c>
      <c r="O175" s="2">
        <v>2448</v>
      </c>
      <c r="P175" s="2">
        <v>48.96</v>
      </c>
      <c r="Q175" s="2">
        <v>768</v>
      </c>
      <c r="R175" s="3">
        <v>0.31372549019607843</v>
      </c>
    </row>
    <row r="176" spans="1:18" x14ac:dyDescent="0.45">
      <c r="A176" t="s">
        <v>252</v>
      </c>
      <c r="B176" s="1">
        <v>45631</v>
      </c>
      <c r="C176" t="s">
        <v>63</v>
      </c>
      <c r="D176" t="s">
        <v>285</v>
      </c>
      <c r="E176" t="s">
        <v>35</v>
      </c>
      <c r="F176" t="s">
        <v>37</v>
      </c>
      <c r="G176" t="s">
        <v>36</v>
      </c>
      <c r="H176" t="s">
        <v>54</v>
      </c>
      <c r="I176" t="s">
        <v>55</v>
      </c>
      <c r="J176" t="s">
        <v>64</v>
      </c>
      <c r="K176">
        <v>2</v>
      </c>
      <c r="L176" s="2">
        <v>110</v>
      </c>
      <c r="M176" s="2">
        <v>55</v>
      </c>
      <c r="N176" s="3">
        <v>0</v>
      </c>
      <c r="O176" s="2">
        <v>220</v>
      </c>
      <c r="P176" s="2">
        <v>4.4000000000000004</v>
      </c>
      <c r="Q176" s="2">
        <v>110</v>
      </c>
      <c r="R176" s="3">
        <v>0.5</v>
      </c>
    </row>
    <row r="177" spans="1:18" x14ac:dyDescent="0.45">
      <c r="A177" t="s">
        <v>253</v>
      </c>
      <c r="B177" s="1">
        <v>45337</v>
      </c>
      <c r="C177" t="s">
        <v>89</v>
      </c>
      <c r="D177" t="s">
        <v>284</v>
      </c>
      <c r="E177" t="s">
        <v>14</v>
      </c>
      <c r="F177" t="s">
        <v>16</v>
      </c>
      <c r="G177" t="s">
        <v>15</v>
      </c>
      <c r="H177" t="s">
        <v>71</v>
      </c>
      <c r="I177" t="s">
        <v>55</v>
      </c>
      <c r="J177" t="s">
        <v>90</v>
      </c>
      <c r="K177">
        <v>4</v>
      </c>
      <c r="L177" s="2">
        <v>240</v>
      </c>
      <c r="M177" s="2">
        <v>150</v>
      </c>
      <c r="N177" s="3">
        <v>0</v>
      </c>
      <c r="O177" s="2">
        <v>960</v>
      </c>
      <c r="P177" s="2">
        <v>19.2</v>
      </c>
      <c r="Q177" s="2">
        <v>360</v>
      </c>
      <c r="R177" s="3">
        <v>0.375</v>
      </c>
    </row>
    <row r="178" spans="1:18" x14ac:dyDescent="0.45">
      <c r="A178" t="s">
        <v>254</v>
      </c>
      <c r="B178" s="1">
        <v>45555</v>
      </c>
      <c r="C178" t="s">
        <v>128</v>
      </c>
      <c r="D178" t="s">
        <v>279</v>
      </c>
      <c r="E178" t="s">
        <v>28</v>
      </c>
      <c r="F178" t="s">
        <v>30</v>
      </c>
      <c r="G178" t="s">
        <v>29</v>
      </c>
      <c r="H178" t="s">
        <v>54</v>
      </c>
      <c r="I178" t="s">
        <v>55</v>
      </c>
      <c r="J178" t="s">
        <v>129</v>
      </c>
      <c r="K178">
        <v>15</v>
      </c>
      <c r="L178" s="2">
        <v>210</v>
      </c>
      <c r="M178" s="2">
        <v>120</v>
      </c>
      <c r="N178" s="3">
        <v>0.1</v>
      </c>
      <c r="O178" s="2">
        <v>2835</v>
      </c>
      <c r="P178" s="2">
        <v>56.7</v>
      </c>
      <c r="Q178" s="2">
        <v>1035</v>
      </c>
      <c r="R178" s="3">
        <v>0.36507936507936506</v>
      </c>
    </row>
    <row r="179" spans="1:18" x14ac:dyDescent="0.45">
      <c r="A179" t="s">
        <v>255</v>
      </c>
      <c r="B179" s="1">
        <v>45319</v>
      </c>
      <c r="C179" t="s">
        <v>73</v>
      </c>
      <c r="D179" t="s">
        <v>282</v>
      </c>
      <c r="E179" t="s">
        <v>24</v>
      </c>
      <c r="F179" t="s">
        <v>23</v>
      </c>
      <c r="G179" t="s">
        <v>25</v>
      </c>
      <c r="H179" t="s">
        <v>71</v>
      </c>
      <c r="I179" t="s">
        <v>67</v>
      </c>
      <c r="J179" t="s">
        <v>74</v>
      </c>
      <c r="K179">
        <v>20</v>
      </c>
      <c r="L179" s="2">
        <v>1750</v>
      </c>
      <c r="M179" s="2">
        <v>1300</v>
      </c>
      <c r="N179" s="3">
        <v>0.15</v>
      </c>
      <c r="O179" s="2">
        <v>29750</v>
      </c>
      <c r="P179" s="2">
        <v>1785</v>
      </c>
      <c r="Q179" s="2">
        <v>3750</v>
      </c>
      <c r="R179" s="3">
        <v>0.12605042016806722</v>
      </c>
    </row>
    <row r="180" spans="1:18" x14ac:dyDescent="0.45">
      <c r="A180" t="s">
        <v>256</v>
      </c>
      <c r="B180" s="1">
        <v>45612</v>
      </c>
      <c r="C180" t="s">
        <v>77</v>
      </c>
      <c r="D180" t="s">
        <v>286</v>
      </c>
      <c r="E180" t="s">
        <v>33</v>
      </c>
      <c r="F180" t="s">
        <v>30</v>
      </c>
      <c r="G180" t="s">
        <v>34</v>
      </c>
      <c r="H180" t="s">
        <v>59</v>
      </c>
      <c r="I180" t="s">
        <v>60</v>
      </c>
      <c r="J180" t="s">
        <v>78</v>
      </c>
      <c r="K180">
        <v>7</v>
      </c>
      <c r="L180" s="2">
        <v>130</v>
      </c>
      <c r="M180" s="2">
        <v>62</v>
      </c>
      <c r="N180" s="3">
        <v>0.05</v>
      </c>
      <c r="O180" s="2">
        <v>864.5</v>
      </c>
      <c r="P180" s="2">
        <v>17.29</v>
      </c>
      <c r="Q180" s="2">
        <v>430.5</v>
      </c>
      <c r="R180" s="3">
        <v>0.49797570850202422</v>
      </c>
    </row>
    <row r="181" spans="1:18" x14ac:dyDescent="0.45">
      <c r="A181" t="s">
        <v>257</v>
      </c>
      <c r="B181" s="1">
        <v>45573</v>
      </c>
      <c r="C181" t="s">
        <v>58</v>
      </c>
      <c r="D181" t="s">
        <v>281</v>
      </c>
      <c r="E181" t="s">
        <v>38</v>
      </c>
      <c r="F181" t="s">
        <v>37</v>
      </c>
      <c r="G181" t="s">
        <v>39</v>
      </c>
      <c r="H181" t="s">
        <v>71</v>
      </c>
      <c r="I181" t="s">
        <v>60</v>
      </c>
      <c r="J181" t="s">
        <v>61</v>
      </c>
      <c r="K181">
        <v>15</v>
      </c>
      <c r="L181" s="2">
        <v>160</v>
      </c>
      <c r="M181" s="2">
        <v>88</v>
      </c>
      <c r="N181" s="3">
        <v>0.1</v>
      </c>
      <c r="O181" s="2">
        <v>2160</v>
      </c>
      <c r="P181" s="2">
        <v>43.2</v>
      </c>
      <c r="Q181" s="2">
        <v>840</v>
      </c>
      <c r="R181" s="3">
        <v>0.3888888888888889</v>
      </c>
    </row>
    <row r="182" spans="1:18" x14ac:dyDescent="0.45">
      <c r="A182" t="s">
        <v>258</v>
      </c>
      <c r="B182" s="1">
        <v>45354</v>
      </c>
      <c r="C182" t="s">
        <v>128</v>
      </c>
      <c r="D182" t="s">
        <v>279</v>
      </c>
      <c r="E182" t="s">
        <v>28</v>
      </c>
      <c r="F182" t="s">
        <v>30</v>
      </c>
      <c r="G182" t="s">
        <v>29</v>
      </c>
      <c r="H182" t="s">
        <v>54</v>
      </c>
      <c r="I182" t="s">
        <v>55</v>
      </c>
      <c r="J182" t="s">
        <v>129</v>
      </c>
      <c r="K182">
        <v>8</v>
      </c>
      <c r="L182" s="2">
        <v>210</v>
      </c>
      <c r="M182" s="2">
        <v>120</v>
      </c>
      <c r="N182" s="3">
        <v>0.05</v>
      </c>
      <c r="O182" s="2">
        <v>1596</v>
      </c>
      <c r="P182" s="2">
        <v>31.92</v>
      </c>
      <c r="Q182" s="2">
        <v>636</v>
      </c>
      <c r="R182" s="3">
        <v>0.39849624060150374</v>
      </c>
    </row>
    <row r="183" spans="1:18" x14ac:dyDescent="0.45">
      <c r="A183" t="s">
        <v>259</v>
      </c>
      <c r="B183" s="1">
        <v>45451</v>
      </c>
      <c r="C183" t="s">
        <v>66</v>
      </c>
      <c r="D183" t="s">
        <v>287</v>
      </c>
      <c r="E183" t="s">
        <v>5</v>
      </c>
      <c r="F183" t="s">
        <v>7</v>
      </c>
      <c r="G183" t="s">
        <v>6</v>
      </c>
      <c r="H183" t="s">
        <v>54</v>
      </c>
      <c r="I183" t="s">
        <v>67</v>
      </c>
      <c r="J183" t="s">
        <v>68</v>
      </c>
      <c r="K183">
        <v>14</v>
      </c>
      <c r="L183" s="2">
        <v>25</v>
      </c>
      <c r="M183" s="2">
        <v>11</v>
      </c>
      <c r="N183" s="3">
        <v>0.1</v>
      </c>
      <c r="O183" s="2">
        <v>315</v>
      </c>
      <c r="P183" s="2">
        <v>6.3</v>
      </c>
      <c r="Q183" s="2">
        <v>161</v>
      </c>
      <c r="R183" s="3">
        <v>0.51111111111111107</v>
      </c>
    </row>
    <row r="184" spans="1:18" x14ac:dyDescent="0.45">
      <c r="A184" t="s">
        <v>260</v>
      </c>
      <c r="B184" s="1">
        <v>45407</v>
      </c>
      <c r="C184" t="s">
        <v>53</v>
      </c>
      <c r="D184" t="s">
        <v>280</v>
      </c>
      <c r="E184" t="s">
        <v>21</v>
      </c>
      <c r="F184" t="s">
        <v>23</v>
      </c>
      <c r="G184" t="s">
        <v>22</v>
      </c>
      <c r="H184" t="s">
        <v>59</v>
      </c>
      <c r="I184" t="s">
        <v>55</v>
      </c>
      <c r="J184" t="s">
        <v>56</v>
      </c>
      <c r="K184">
        <v>21</v>
      </c>
      <c r="L184" s="2">
        <v>1150</v>
      </c>
      <c r="M184" s="2">
        <v>820</v>
      </c>
      <c r="N184" s="3">
        <v>0.2</v>
      </c>
      <c r="O184" s="2">
        <v>19320</v>
      </c>
      <c r="P184" s="2">
        <v>1159.2</v>
      </c>
      <c r="Q184" s="2">
        <v>2100</v>
      </c>
      <c r="R184" s="3">
        <v>0.10869565217391304</v>
      </c>
    </row>
    <row r="185" spans="1:18" x14ac:dyDescent="0.45">
      <c r="A185" t="s">
        <v>261</v>
      </c>
      <c r="B185" s="1">
        <v>45547</v>
      </c>
      <c r="C185" t="s">
        <v>80</v>
      </c>
      <c r="D185" t="s">
        <v>283</v>
      </c>
      <c r="E185" t="s">
        <v>24</v>
      </c>
      <c r="F185" t="s">
        <v>23</v>
      </c>
      <c r="G185" t="s">
        <v>25</v>
      </c>
      <c r="H185" t="s">
        <v>54</v>
      </c>
      <c r="I185" t="s">
        <v>67</v>
      </c>
      <c r="J185" t="s">
        <v>81</v>
      </c>
      <c r="K185">
        <v>9</v>
      </c>
      <c r="L185" s="2">
        <v>1750</v>
      </c>
      <c r="M185" s="2">
        <v>1300</v>
      </c>
      <c r="N185" s="3">
        <v>0.05</v>
      </c>
      <c r="O185" s="2">
        <v>14962.5</v>
      </c>
      <c r="P185" s="2">
        <v>598.5</v>
      </c>
      <c r="Q185" s="2">
        <v>3262.5</v>
      </c>
      <c r="R185" s="3">
        <v>0.21804511278195488</v>
      </c>
    </row>
    <row r="186" spans="1:18" x14ac:dyDescent="0.45">
      <c r="A186" t="s">
        <v>262</v>
      </c>
      <c r="B186" s="1">
        <v>45539</v>
      </c>
      <c r="C186" t="s">
        <v>77</v>
      </c>
      <c r="D186" t="s">
        <v>286</v>
      </c>
      <c r="E186" t="s">
        <v>12</v>
      </c>
      <c r="F186" t="s">
        <v>7</v>
      </c>
      <c r="G186" t="s">
        <v>13</v>
      </c>
      <c r="H186" t="s">
        <v>71</v>
      </c>
      <c r="I186" t="s">
        <v>60</v>
      </c>
      <c r="J186" t="s">
        <v>78</v>
      </c>
      <c r="K186">
        <v>18</v>
      </c>
      <c r="L186" s="2">
        <v>35</v>
      </c>
      <c r="M186" s="2">
        <v>14</v>
      </c>
      <c r="N186" s="3">
        <v>0.15</v>
      </c>
      <c r="O186" s="2">
        <v>535.5</v>
      </c>
      <c r="P186" s="2">
        <v>10.71</v>
      </c>
      <c r="Q186" s="2">
        <v>283.5</v>
      </c>
      <c r="R186" s="3">
        <v>0.52941176470588236</v>
      </c>
    </row>
    <row r="187" spans="1:18" x14ac:dyDescent="0.45">
      <c r="A187" t="s">
        <v>263</v>
      </c>
      <c r="B187" s="1">
        <v>45488</v>
      </c>
      <c r="C187" t="s">
        <v>73</v>
      </c>
      <c r="D187" t="s">
        <v>282</v>
      </c>
      <c r="E187" t="s">
        <v>38</v>
      </c>
      <c r="F187" t="s">
        <v>37</v>
      </c>
      <c r="G187" t="s">
        <v>39</v>
      </c>
      <c r="H187" t="s">
        <v>54</v>
      </c>
      <c r="I187" t="s">
        <v>67</v>
      </c>
      <c r="J187" t="s">
        <v>74</v>
      </c>
      <c r="K187">
        <v>17</v>
      </c>
      <c r="L187" s="2">
        <v>160</v>
      </c>
      <c r="M187" s="2">
        <v>88</v>
      </c>
      <c r="N187" s="3">
        <v>0.15</v>
      </c>
      <c r="O187" s="2">
        <v>2312</v>
      </c>
      <c r="P187" s="2">
        <v>46.24</v>
      </c>
      <c r="Q187" s="2">
        <v>816</v>
      </c>
      <c r="R187" s="3">
        <v>0.35294117647058826</v>
      </c>
    </row>
    <row r="188" spans="1:18" x14ac:dyDescent="0.45">
      <c r="A188" t="s">
        <v>264</v>
      </c>
      <c r="B188" s="1">
        <v>45327</v>
      </c>
      <c r="C188" t="s">
        <v>80</v>
      </c>
      <c r="D188" t="s">
        <v>283</v>
      </c>
      <c r="E188" t="s">
        <v>33</v>
      </c>
      <c r="F188" t="s">
        <v>30</v>
      </c>
      <c r="G188" t="s">
        <v>34</v>
      </c>
      <c r="H188" t="s">
        <v>71</v>
      </c>
      <c r="I188" t="s">
        <v>67</v>
      </c>
      <c r="J188" t="s">
        <v>81</v>
      </c>
      <c r="K188">
        <v>11</v>
      </c>
      <c r="L188" s="2">
        <v>130</v>
      </c>
      <c r="M188" s="2">
        <v>62</v>
      </c>
      <c r="N188" s="3">
        <v>0.1</v>
      </c>
      <c r="O188" s="2">
        <v>1287</v>
      </c>
      <c r="P188" s="2">
        <v>25.74</v>
      </c>
      <c r="Q188" s="2">
        <v>605</v>
      </c>
      <c r="R188" s="3">
        <v>0.47008547008547008</v>
      </c>
    </row>
    <row r="189" spans="1:18" x14ac:dyDescent="0.45">
      <c r="A189" t="s">
        <v>265</v>
      </c>
      <c r="B189" s="1">
        <v>45293</v>
      </c>
      <c r="C189" t="s">
        <v>80</v>
      </c>
      <c r="D189" t="s">
        <v>283</v>
      </c>
      <c r="E189" t="s">
        <v>31</v>
      </c>
      <c r="F189" t="s">
        <v>30</v>
      </c>
      <c r="G189" t="s">
        <v>32</v>
      </c>
      <c r="H189" t="s">
        <v>71</v>
      </c>
      <c r="I189" t="s">
        <v>67</v>
      </c>
      <c r="J189" t="s">
        <v>81</v>
      </c>
      <c r="K189">
        <v>19</v>
      </c>
      <c r="L189" s="2">
        <v>95</v>
      </c>
      <c r="M189" s="2">
        <v>44</v>
      </c>
      <c r="N189" s="3">
        <v>0.15</v>
      </c>
      <c r="O189" s="2">
        <v>1534.25</v>
      </c>
      <c r="P189" s="2">
        <v>30.684999999999999</v>
      </c>
      <c r="Q189" s="2">
        <v>698.25</v>
      </c>
      <c r="R189" s="3">
        <v>0.45510835913312686</v>
      </c>
    </row>
    <row r="190" spans="1:18" x14ac:dyDescent="0.45">
      <c r="A190" t="s">
        <v>266</v>
      </c>
      <c r="B190" s="1">
        <v>45368</v>
      </c>
      <c r="C190" t="s">
        <v>77</v>
      </c>
      <c r="D190" t="s">
        <v>286</v>
      </c>
      <c r="E190" t="s">
        <v>24</v>
      </c>
      <c r="F190" t="s">
        <v>23</v>
      </c>
      <c r="G190" t="s">
        <v>25</v>
      </c>
      <c r="H190" t="s">
        <v>71</v>
      </c>
      <c r="I190" t="s">
        <v>60</v>
      </c>
      <c r="J190" t="s">
        <v>78</v>
      </c>
      <c r="K190">
        <v>12</v>
      </c>
      <c r="L190" s="2">
        <v>1750</v>
      </c>
      <c r="M190" s="2">
        <v>1300</v>
      </c>
      <c r="N190" s="3">
        <v>0.1</v>
      </c>
      <c r="O190" s="2">
        <v>18900</v>
      </c>
      <c r="P190" s="2">
        <v>1134</v>
      </c>
      <c r="Q190" s="2">
        <v>3300</v>
      </c>
      <c r="R190" s="3">
        <v>0.17460317460317459</v>
      </c>
    </row>
    <row r="191" spans="1:18" x14ac:dyDescent="0.45">
      <c r="A191" t="s">
        <v>267</v>
      </c>
      <c r="B191" s="1">
        <v>45574</v>
      </c>
      <c r="C191" t="s">
        <v>66</v>
      </c>
      <c r="D191" t="s">
        <v>287</v>
      </c>
      <c r="E191" t="s">
        <v>19</v>
      </c>
      <c r="F191" t="s">
        <v>16</v>
      </c>
      <c r="G191" t="s">
        <v>20</v>
      </c>
      <c r="H191" t="s">
        <v>71</v>
      </c>
      <c r="I191" t="s">
        <v>67</v>
      </c>
      <c r="J191" t="s">
        <v>68</v>
      </c>
      <c r="K191">
        <v>11</v>
      </c>
      <c r="L191" s="2">
        <v>180</v>
      </c>
      <c r="M191" s="2">
        <v>105</v>
      </c>
      <c r="N191" s="3">
        <v>0.1</v>
      </c>
      <c r="O191" s="2">
        <v>1782</v>
      </c>
      <c r="P191" s="2">
        <v>35.64</v>
      </c>
      <c r="Q191" s="2">
        <v>627</v>
      </c>
      <c r="R191" s="3">
        <v>0.35185185185185186</v>
      </c>
    </row>
    <row r="192" spans="1:18" x14ac:dyDescent="0.45">
      <c r="A192" t="s">
        <v>268</v>
      </c>
      <c r="B192" s="1">
        <v>45649</v>
      </c>
      <c r="C192" t="s">
        <v>73</v>
      </c>
      <c r="D192" t="s">
        <v>282</v>
      </c>
      <c r="E192" t="s">
        <v>26</v>
      </c>
      <c r="F192" t="s">
        <v>23</v>
      </c>
      <c r="G192" t="s">
        <v>27</v>
      </c>
      <c r="H192" t="s">
        <v>71</v>
      </c>
      <c r="I192" t="s">
        <v>67</v>
      </c>
      <c r="J192" t="s">
        <v>74</v>
      </c>
      <c r="K192">
        <v>8</v>
      </c>
      <c r="L192" s="2">
        <v>1050</v>
      </c>
      <c r="M192" s="2">
        <v>760</v>
      </c>
      <c r="N192" s="3">
        <v>0.05</v>
      </c>
      <c r="O192" s="2">
        <v>7980</v>
      </c>
      <c r="P192" s="2">
        <v>319.2</v>
      </c>
      <c r="Q192" s="2">
        <v>1900</v>
      </c>
      <c r="R192" s="3">
        <v>0.23809523809523808</v>
      </c>
    </row>
    <row r="193" spans="1:18" x14ac:dyDescent="0.45">
      <c r="A193" t="s">
        <v>269</v>
      </c>
      <c r="B193" s="1">
        <v>45314</v>
      </c>
      <c r="C193" t="s">
        <v>89</v>
      </c>
      <c r="D193" t="s">
        <v>284</v>
      </c>
      <c r="E193" t="s">
        <v>31</v>
      </c>
      <c r="F193" t="s">
        <v>30</v>
      </c>
      <c r="G193" t="s">
        <v>32</v>
      </c>
      <c r="H193" t="s">
        <v>71</v>
      </c>
      <c r="I193" t="s">
        <v>55</v>
      </c>
      <c r="J193" t="s">
        <v>90</v>
      </c>
      <c r="K193">
        <v>23</v>
      </c>
      <c r="L193" s="2">
        <v>95</v>
      </c>
      <c r="M193" s="2">
        <v>44</v>
      </c>
      <c r="N193" s="3">
        <v>0.2</v>
      </c>
      <c r="O193" s="2">
        <v>1748</v>
      </c>
      <c r="P193" s="2">
        <v>34.96</v>
      </c>
      <c r="Q193" s="2">
        <v>736</v>
      </c>
      <c r="R193" s="3">
        <v>0.42105263157894735</v>
      </c>
    </row>
    <row r="194" spans="1:18" x14ac:dyDescent="0.45">
      <c r="A194" t="s">
        <v>270</v>
      </c>
      <c r="B194" s="1">
        <v>45489</v>
      </c>
      <c r="C194" t="s">
        <v>58</v>
      </c>
      <c r="D194" t="s">
        <v>281</v>
      </c>
      <c r="E194" t="s">
        <v>21</v>
      </c>
      <c r="F194" t="s">
        <v>23</v>
      </c>
      <c r="G194" t="s">
        <v>22</v>
      </c>
      <c r="H194" t="s">
        <v>59</v>
      </c>
      <c r="I194" t="s">
        <v>60</v>
      </c>
      <c r="J194" t="s">
        <v>61</v>
      </c>
      <c r="K194">
        <v>5</v>
      </c>
      <c r="L194" s="2">
        <v>1150</v>
      </c>
      <c r="M194" s="2">
        <v>820</v>
      </c>
      <c r="N194" s="3">
        <v>0</v>
      </c>
      <c r="O194" s="2">
        <v>5750</v>
      </c>
      <c r="P194" s="2">
        <v>230</v>
      </c>
      <c r="Q194" s="2">
        <v>1650</v>
      </c>
      <c r="R194" s="3">
        <v>0.28695652173913044</v>
      </c>
    </row>
    <row r="195" spans="1:18" x14ac:dyDescent="0.45">
      <c r="A195" t="s">
        <v>271</v>
      </c>
      <c r="B195" s="1">
        <v>45343</v>
      </c>
      <c r="C195" t="s">
        <v>77</v>
      </c>
      <c r="D195" t="s">
        <v>286</v>
      </c>
      <c r="E195" t="s">
        <v>8</v>
      </c>
      <c r="F195" t="s">
        <v>7</v>
      </c>
      <c r="G195" t="s">
        <v>9</v>
      </c>
      <c r="H195" t="s">
        <v>54</v>
      </c>
      <c r="I195" t="s">
        <v>60</v>
      </c>
      <c r="J195" t="s">
        <v>78</v>
      </c>
      <c r="K195">
        <v>15</v>
      </c>
      <c r="L195" s="2">
        <v>79</v>
      </c>
      <c r="M195" s="2">
        <v>38</v>
      </c>
      <c r="N195" s="3">
        <v>0.1</v>
      </c>
      <c r="O195" s="2">
        <v>1066.5</v>
      </c>
      <c r="P195" s="2">
        <v>21.33</v>
      </c>
      <c r="Q195" s="2">
        <v>496.5</v>
      </c>
      <c r="R195" s="3">
        <v>0.46554149085794655</v>
      </c>
    </row>
    <row r="196" spans="1:18" x14ac:dyDescent="0.45">
      <c r="A196" t="s">
        <v>272</v>
      </c>
      <c r="B196" s="1">
        <v>45365</v>
      </c>
      <c r="C196" t="s">
        <v>63</v>
      </c>
      <c r="D196" t="s">
        <v>285</v>
      </c>
      <c r="E196" t="s">
        <v>35</v>
      </c>
      <c r="F196" t="s">
        <v>37</v>
      </c>
      <c r="G196" t="s">
        <v>36</v>
      </c>
      <c r="H196" t="s">
        <v>54</v>
      </c>
      <c r="I196" t="s">
        <v>55</v>
      </c>
      <c r="J196" t="s">
        <v>64</v>
      </c>
      <c r="K196">
        <v>5</v>
      </c>
      <c r="L196" s="2">
        <v>110</v>
      </c>
      <c r="M196" s="2">
        <v>55</v>
      </c>
      <c r="N196" s="3">
        <v>0</v>
      </c>
      <c r="O196" s="2">
        <v>550</v>
      </c>
      <c r="P196" s="2">
        <v>11</v>
      </c>
      <c r="Q196" s="2">
        <v>275</v>
      </c>
      <c r="R196" s="3">
        <v>0.5</v>
      </c>
    </row>
    <row r="197" spans="1:18" x14ac:dyDescent="0.45">
      <c r="A197" t="s">
        <v>273</v>
      </c>
      <c r="B197" s="1">
        <v>45532</v>
      </c>
      <c r="C197" t="s">
        <v>80</v>
      </c>
      <c r="D197" t="s">
        <v>283</v>
      </c>
      <c r="E197" t="s">
        <v>17</v>
      </c>
      <c r="F197" t="s">
        <v>16</v>
      </c>
      <c r="G197" t="s">
        <v>18</v>
      </c>
      <c r="H197" t="s">
        <v>54</v>
      </c>
      <c r="I197" t="s">
        <v>67</v>
      </c>
      <c r="J197" t="s">
        <v>81</v>
      </c>
      <c r="K197">
        <v>23</v>
      </c>
      <c r="L197" s="2">
        <v>520</v>
      </c>
      <c r="M197" s="2">
        <v>360</v>
      </c>
      <c r="N197" s="3">
        <v>0.2</v>
      </c>
      <c r="O197" s="2">
        <v>9568</v>
      </c>
      <c r="P197" s="2">
        <v>382.72</v>
      </c>
      <c r="Q197" s="2">
        <v>1288</v>
      </c>
      <c r="R197" s="3">
        <v>0.13461538461538461</v>
      </c>
    </row>
    <row r="198" spans="1:18" x14ac:dyDescent="0.45">
      <c r="A198" t="s">
        <v>274</v>
      </c>
      <c r="B198" s="1">
        <v>45624</v>
      </c>
      <c r="C198" t="s">
        <v>53</v>
      </c>
      <c r="D198" t="s">
        <v>280</v>
      </c>
      <c r="E198" t="s">
        <v>35</v>
      </c>
      <c r="F198" t="s">
        <v>37</v>
      </c>
      <c r="G198" t="s">
        <v>36</v>
      </c>
      <c r="H198" t="s">
        <v>71</v>
      </c>
      <c r="I198" t="s">
        <v>55</v>
      </c>
      <c r="J198" t="s">
        <v>56</v>
      </c>
      <c r="K198">
        <v>22</v>
      </c>
      <c r="L198" s="2">
        <v>110</v>
      </c>
      <c r="M198" s="2">
        <v>55</v>
      </c>
      <c r="N198" s="3">
        <v>0.2</v>
      </c>
      <c r="O198" s="2">
        <v>1936</v>
      </c>
      <c r="P198" s="2">
        <v>38.72</v>
      </c>
      <c r="Q198" s="2">
        <v>726</v>
      </c>
      <c r="R198" s="3">
        <v>0.375</v>
      </c>
    </row>
    <row r="199" spans="1:18" x14ac:dyDescent="0.45">
      <c r="A199" t="s">
        <v>275</v>
      </c>
      <c r="B199" s="1">
        <v>45454</v>
      </c>
      <c r="C199" t="s">
        <v>77</v>
      </c>
      <c r="D199" t="s">
        <v>286</v>
      </c>
      <c r="E199" t="s">
        <v>35</v>
      </c>
      <c r="F199" t="s">
        <v>37</v>
      </c>
      <c r="G199" t="s">
        <v>36</v>
      </c>
      <c r="H199" t="s">
        <v>54</v>
      </c>
      <c r="I199" t="s">
        <v>60</v>
      </c>
      <c r="J199" t="s">
        <v>78</v>
      </c>
      <c r="K199">
        <v>2</v>
      </c>
      <c r="L199" s="2">
        <v>110</v>
      </c>
      <c r="M199" s="2">
        <v>55</v>
      </c>
      <c r="N199" s="3">
        <v>0</v>
      </c>
      <c r="O199" s="2">
        <v>220</v>
      </c>
      <c r="P199" s="2">
        <v>4.4000000000000004</v>
      </c>
      <c r="Q199" s="2">
        <v>110</v>
      </c>
      <c r="R199" s="3">
        <v>0.5</v>
      </c>
    </row>
    <row r="200" spans="1:18" x14ac:dyDescent="0.45">
      <c r="A200" t="s">
        <v>276</v>
      </c>
      <c r="B200" s="1">
        <v>45412</v>
      </c>
      <c r="C200" t="s">
        <v>80</v>
      </c>
      <c r="D200" t="s">
        <v>283</v>
      </c>
      <c r="E200" t="s">
        <v>12</v>
      </c>
      <c r="F200" t="s">
        <v>7</v>
      </c>
      <c r="G200" t="s">
        <v>13</v>
      </c>
      <c r="H200" t="s">
        <v>54</v>
      </c>
      <c r="I200" t="s">
        <v>67</v>
      </c>
      <c r="J200" t="s">
        <v>81</v>
      </c>
      <c r="K200">
        <v>3</v>
      </c>
      <c r="L200" s="2">
        <v>35</v>
      </c>
      <c r="M200" s="2">
        <v>14</v>
      </c>
      <c r="N200" s="3">
        <v>0</v>
      </c>
      <c r="O200" s="2">
        <v>105</v>
      </c>
      <c r="P200" s="2">
        <v>2.1</v>
      </c>
      <c r="Q200" s="2">
        <v>63</v>
      </c>
      <c r="R200" s="3">
        <v>0.6</v>
      </c>
    </row>
    <row r="201" spans="1:18" x14ac:dyDescent="0.45">
      <c r="A201" t="s">
        <v>277</v>
      </c>
      <c r="B201" s="1">
        <v>45342</v>
      </c>
      <c r="C201" t="s">
        <v>53</v>
      </c>
      <c r="D201" t="s">
        <v>280</v>
      </c>
      <c r="E201" t="s">
        <v>21</v>
      </c>
      <c r="F201" t="s">
        <v>23</v>
      </c>
      <c r="G201" t="s">
        <v>22</v>
      </c>
      <c r="H201" t="s">
        <v>59</v>
      </c>
      <c r="I201" t="s">
        <v>55</v>
      </c>
      <c r="J201" t="s">
        <v>56</v>
      </c>
      <c r="K201">
        <v>23</v>
      </c>
      <c r="L201" s="2">
        <v>1150</v>
      </c>
      <c r="M201" s="2">
        <v>820</v>
      </c>
      <c r="N201" s="3">
        <v>0.2</v>
      </c>
      <c r="O201" s="2">
        <v>21160</v>
      </c>
      <c r="P201" s="2">
        <v>1269.5999999999999</v>
      </c>
      <c r="Q201" s="2">
        <v>2300</v>
      </c>
      <c r="R201" s="3">
        <v>0.10869565217391304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FF3F8-BFF5-4A52-82FD-8113F619241C}">
  <dimension ref="A1:D11"/>
  <sheetViews>
    <sheetView workbookViewId="0"/>
  </sheetViews>
  <sheetFormatPr defaultRowHeight="14.25" x14ac:dyDescent="0.45"/>
  <cols>
    <col min="1" max="1" width="14.59765625" bestFit="1" customWidth="1"/>
    <col min="2" max="2" width="12.86328125" bestFit="1" customWidth="1"/>
    <col min="3" max="3" width="8.3984375" bestFit="1" customWidth="1"/>
    <col min="4" max="4" width="17.19921875" bestFit="1" customWidth="1"/>
  </cols>
  <sheetData>
    <row r="1" spans="1:4" x14ac:dyDescent="0.45">
      <c r="A1" t="s">
        <v>42</v>
      </c>
      <c r="B1" t="s">
        <v>278</v>
      </c>
      <c r="C1" t="s">
        <v>44</v>
      </c>
      <c r="D1" t="s">
        <v>45</v>
      </c>
    </row>
    <row r="2" spans="1:4" x14ac:dyDescent="0.45">
      <c r="A2" t="s">
        <v>128</v>
      </c>
      <c r="B2" t="s">
        <v>279</v>
      </c>
      <c r="C2" t="s">
        <v>55</v>
      </c>
      <c r="D2" t="s">
        <v>129</v>
      </c>
    </row>
    <row r="3" spans="1:4" x14ac:dyDescent="0.45">
      <c r="A3" t="s">
        <v>53</v>
      </c>
      <c r="B3" t="s">
        <v>280</v>
      </c>
      <c r="C3" t="s">
        <v>55</v>
      </c>
      <c r="D3" t="s">
        <v>56</v>
      </c>
    </row>
    <row r="4" spans="1:4" x14ac:dyDescent="0.45">
      <c r="A4" t="s">
        <v>58</v>
      </c>
      <c r="B4" t="s">
        <v>281</v>
      </c>
      <c r="C4" t="s">
        <v>60</v>
      </c>
      <c r="D4" t="s">
        <v>61</v>
      </c>
    </row>
    <row r="5" spans="1:4" x14ac:dyDescent="0.45">
      <c r="A5" t="s">
        <v>73</v>
      </c>
      <c r="B5" t="s">
        <v>282</v>
      </c>
      <c r="C5" t="s">
        <v>67</v>
      </c>
      <c r="D5" t="s">
        <v>74</v>
      </c>
    </row>
    <row r="6" spans="1:4" x14ac:dyDescent="0.45">
      <c r="A6" t="s">
        <v>80</v>
      </c>
      <c r="B6" t="s">
        <v>283</v>
      </c>
      <c r="C6" t="s">
        <v>67</v>
      </c>
      <c r="D6" t="s">
        <v>81</v>
      </c>
    </row>
    <row r="7" spans="1:4" x14ac:dyDescent="0.45">
      <c r="A7" t="s">
        <v>89</v>
      </c>
      <c r="B7" t="s">
        <v>284</v>
      </c>
      <c r="C7" t="s">
        <v>55</v>
      </c>
      <c r="D7" t="s">
        <v>90</v>
      </c>
    </row>
    <row r="8" spans="1:4" x14ac:dyDescent="0.45">
      <c r="A8" t="s">
        <v>63</v>
      </c>
      <c r="B8" t="s">
        <v>285</v>
      </c>
      <c r="C8" t="s">
        <v>55</v>
      </c>
      <c r="D8" t="s">
        <v>64</v>
      </c>
    </row>
    <row r="9" spans="1:4" x14ac:dyDescent="0.45">
      <c r="A9" t="s">
        <v>77</v>
      </c>
      <c r="B9" t="s">
        <v>286</v>
      </c>
      <c r="C9" t="s">
        <v>60</v>
      </c>
      <c r="D9" t="s">
        <v>78</v>
      </c>
    </row>
    <row r="10" spans="1:4" x14ac:dyDescent="0.45">
      <c r="A10" t="s">
        <v>66</v>
      </c>
      <c r="B10" t="s">
        <v>287</v>
      </c>
      <c r="C10" t="s">
        <v>67</v>
      </c>
      <c r="D10" t="s">
        <v>68</v>
      </c>
    </row>
    <row r="11" spans="1:4" x14ac:dyDescent="0.45">
      <c r="A11" t="s">
        <v>133</v>
      </c>
      <c r="B11" t="s">
        <v>288</v>
      </c>
      <c r="C11" t="s">
        <v>67</v>
      </c>
      <c r="D11" t="s">
        <v>134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62771-3D66-43BE-ADD4-543433556E36}">
  <dimension ref="A1:O201"/>
  <sheetViews>
    <sheetView workbookViewId="0">
      <selection activeCell="L2" sqref="L2"/>
    </sheetView>
  </sheetViews>
  <sheetFormatPr defaultRowHeight="14.25" x14ac:dyDescent="0.45"/>
  <cols>
    <col min="1" max="1" width="9.86328125" bestFit="1" customWidth="1"/>
    <col min="2" max="2" width="11.265625" bestFit="1" customWidth="1"/>
    <col min="3" max="3" width="14.59765625" bestFit="1" customWidth="1"/>
    <col min="4" max="4" width="10.9296875" bestFit="1" customWidth="1"/>
    <col min="5" max="5" width="9.59765625" bestFit="1" customWidth="1"/>
    <col min="6" max="6" width="8.3984375" bestFit="1" customWidth="1"/>
    <col min="7" max="7" width="17.19921875" bestFit="1" customWidth="1"/>
    <col min="8" max="8" width="9.6640625" bestFit="1" customWidth="1"/>
    <col min="9" max="9" width="10.33203125" bestFit="1" customWidth="1"/>
    <col min="10" max="10" width="9.86328125" bestFit="1" customWidth="1"/>
    <col min="11" max="11" width="10" bestFit="1" customWidth="1"/>
    <col min="12" max="12" width="9.9296875" bestFit="1" customWidth="1"/>
    <col min="13" max="13" width="12.86328125" bestFit="1" customWidth="1"/>
    <col min="14" max="14" width="7.33203125" bestFit="1" customWidth="1"/>
    <col min="15" max="15" width="12.6640625" bestFit="1" customWidth="1"/>
  </cols>
  <sheetData>
    <row r="1" spans="1:15" x14ac:dyDescent="0.45">
      <c r="A1" t="s">
        <v>40</v>
      </c>
      <c r="B1" t="s">
        <v>41</v>
      </c>
      <c r="C1" t="s">
        <v>42</v>
      </c>
      <c r="D1" t="s">
        <v>0</v>
      </c>
      <c r="E1" t="s">
        <v>43</v>
      </c>
      <c r="F1" t="s">
        <v>44</v>
      </c>
      <c r="G1" t="s">
        <v>45</v>
      </c>
      <c r="H1" t="s">
        <v>46</v>
      </c>
      <c r="I1" t="s">
        <v>3</v>
      </c>
      <c r="J1" t="s">
        <v>4</v>
      </c>
      <c r="K1" t="s">
        <v>47</v>
      </c>
      <c r="L1" t="s">
        <v>48</v>
      </c>
      <c r="M1" t="s">
        <v>49</v>
      </c>
      <c r="N1" t="s">
        <v>50</v>
      </c>
      <c r="O1" t="s">
        <v>51</v>
      </c>
    </row>
    <row r="2" spans="1:15" x14ac:dyDescent="0.45">
      <c r="A2" t="s">
        <v>52</v>
      </c>
      <c r="B2" s="1">
        <v>45619</v>
      </c>
      <c r="C2" t="s">
        <v>53</v>
      </c>
      <c r="D2" t="s">
        <v>5</v>
      </c>
      <c r="E2" t="s">
        <v>54</v>
      </c>
      <c r="F2" t="s">
        <v>55</v>
      </c>
      <c r="G2" t="s">
        <v>56</v>
      </c>
      <c r="H2">
        <v>9</v>
      </c>
      <c r="I2">
        <v>25</v>
      </c>
      <c r="J2">
        <v>11</v>
      </c>
      <c r="K2">
        <v>0.05</v>
      </c>
      <c r="L2">
        <v>213.75</v>
      </c>
      <c r="M2">
        <v>4.2750000000000004</v>
      </c>
      <c r="N2">
        <v>114.75</v>
      </c>
      <c r="O2">
        <v>0.5368421052631579</v>
      </c>
    </row>
    <row r="3" spans="1:15" x14ac:dyDescent="0.45">
      <c r="A3" t="s">
        <v>57</v>
      </c>
      <c r="B3" s="1">
        <v>45406</v>
      </c>
      <c r="C3" t="s">
        <v>58</v>
      </c>
      <c r="D3" t="s">
        <v>31</v>
      </c>
      <c r="E3" t="s">
        <v>59</v>
      </c>
      <c r="F3" t="s">
        <v>60</v>
      </c>
      <c r="G3" t="s">
        <v>61</v>
      </c>
      <c r="H3">
        <v>22</v>
      </c>
      <c r="I3">
        <v>95</v>
      </c>
      <c r="J3">
        <v>44</v>
      </c>
      <c r="K3">
        <v>0.2</v>
      </c>
      <c r="L3">
        <v>1672</v>
      </c>
      <c r="M3">
        <v>33.44</v>
      </c>
      <c r="N3">
        <v>704</v>
      </c>
      <c r="O3">
        <v>0.42105263157894735</v>
      </c>
    </row>
    <row r="4" spans="1:15" x14ac:dyDescent="0.45">
      <c r="A4" t="s">
        <v>62</v>
      </c>
      <c r="B4" s="1">
        <v>45594</v>
      </c>
      <c r="C4" t="s">
        <v>63</v>
      </c>
      <c r="D4" t="s">
        <v>5</v>
      </c>
      <c r="E4" t="s">
        <v>59</v>
      </c>
      <c r="F4" t="s">
        <v>55</v>
      </c>
      <c r="G4" t="s">
        <v>64</v>
      </c>
      <c r="H4">
        <v>3</v>
      </c>
      <c r="I4">
        <v>25</v>
      </c>
      <c r="J4">
        <v>11</v>
      </c>
      <c r="K4">
        <v>0</v>
      </c>
      <c r="L4">
        <v>75</v>
      </c>
      <c r="M4">
        <v>1.5</v>
      </c>
      <c r="N4">
        <v>42</v>
      </c>
      <c r="O4">
        <v>0.56000000000000005</v>
      </c>
    </row>
    <row r="5" spans="1:15" x14ac:dyDescent="0.45">
      <c r="A5" t="s">
        <v>65</v>
      </c>
      <c r="B5" s="1">
        <v>45411</v>
      </c>
      <c r="C5" t="s">
        <v>66</v>
      </c>
      <c r="D5" t="s">
        <v>26</v>
      </c>
      <c r="E5" t="s">
        <v>59</v>
      </c>
      <c r="F5" t="s">
        <v>67</v>
      </c>
      <c r="G5" t="s">
        <v>68</v>
      </c>
      <c r="H5">
        <v>18</v>
      </c>
      <c r="I5">
        <v>1050</v>
      </c>
      <c r="J5">
        <v>760</v>
      </c>
      <c r="K5">
        <v>0.15</v>
      </c>
      <c r="L5">
        <v>16065</v>
      </c>
      <c r="M5">
        <v>963.9</v>
      </c>
      <c r="N5">
        <v>2385</v>
      </c>
      <c r="O5">
        <v>0.1484593837535014</v>
      </c>
    </row>
    <row r="6" spans="1:15" x14ac:dyDescent="0.45">
      <c r="A6" t="s">
        <v>69</v>
      </c>
      <c r="B6" s="1">
        <v>45624</v>
      </c>
      <c r="C6" t="s">
        <v>66</v>
      </c>
      <c r="D6" t="s">
        <v>19</v>
      </c>
      <c r="E6" t="s">
        <v>59</v>
      </c>
      <c r="F6" t="s">
        <v>67</v>
      </c>
      <c r="G6" t="s">
        <v>68</v>
      </c>
      <c r="H6">
        <v>15</v>
      </c>
      <c r="I6">
        <v>180</v>
      </c>
      <c r="J6">
        <v>105</v>
      </c>
      <c r="K6">
        <v>0.1</v>
      </c>
      <c r="L6">
        <v>2430</v>
      </c>
      <c r="M6">
        <v>48.6</v>
      </c>
      <c r="N6">
        <v>855</v>
      </c>
      <c r="O6">
        <v>0.35185185185185186</v>
      </c>
    </row>
    <row r="7" spans="1:15" x14ac:dyDescent="0.45">
      <c r="A7" t="s">
        <v>70</v>
      </c>
      <c r="B7" s="1">
        <v>45295</v>
      </c>
      <c r="C7" t="s">
        <v>58</v>
      </c>
      <c r="D7" t="s">
        <v>31</v>
      </c>
      <c r="E7" t="s">
        <v>71</v>
      </c>
      <c r="F7" t="s">
        <v>60</v>
      </c>
      <c r="G7" t="s">
        <v>61</v>
      </c>
      <c r="H7">
        <v>11</v>
      </c>
      <c r="I7">
        <v>95</v>
      </c>
      <c r="J7">
        <v>44</v>
      </c>
      <c r="K7">
        <v>0.1</v>
      </c>
      <c r="L7">
        <v>940.5</v>
      </c>
      <c r="M7">
        <v>18.809999999999999</v>
      </c>
      <c r="N7">
        <v>456.5</v>
      </c>
      <c r="O7">
        <v>0.4853801169590643</v>
      </c>
    </row>
    <row r="8" spans="1:15" x14ac:dyDescent="0.45">
      <c r="A8" t="s">
        <v>72</v>
      </c>
      <c r="B8" s="1">
        <v>45371</v>
      </c>
      <c r="C8" t="s">
        <v>73</v>
      </c>
      <c r="D8" t="s">
        <v>33</v>
      </c>
      <c r="E8" t="s">
        <v>71</v>
      </c>
      <c r="F8" t="s">
        <v>67</v>
      </c>
      <c r="G8" t="s">
        <v>74</v>
      </c>
      <c r="H8">
        <v>4</v>
      </c>
      <c r="I8">
        <v>130</v>
      </c>
      <c r="J8">
        <v>62</v>
      </c>
      <c r="K8">
        <v>0</v>
      </c>
      <c r="L8">
        <v>520</v>
      </c>
      <c r="M8">
        <v>10.4</v>
      </c>
      <c r="N8">
        <v>272</v>
      </c>
      <c r="O8">
        <v>0.52307692307692311</v>
      </c>
    </row>
    <row r="9" spans="1:15" x14ac:dyDescent="0.45">
      <c r="A9" t="s">
        <v>75</v>
      </c>
      <c r="B9" s="1">
        <v>45486</v>
      </c>
      <c r="C9" t="s">
        <v>53</v>
      </c>
      <c r="D9" t="s">
        <v>17</v>
      </c>
      <c r="E9" t="s">
        <v>71</v>
      </c>
      <c r="F9" t="s">
        <v>55</v>
      </c>
      <c r="G9" t="s">
        <v>56</v>
      </c>
      <c r="H9">
        <v>20</v>
      </c>
      <c r="I9">
        <v>520</v>
      </c>
      <c r="J9">
        <v>360</v>
      </c>
      <c r="K9">
        <v>0.15</v>
      </c>
      <c r="L9">
        <v>8840</v>
      </c>
      <c r="M9">
        <v>353.6</v>
      </c>
      <c r="N9">
        <v>1640</v>
      </c>
      <c r="O9">
        <v>0.18552036199095023</v>
      </c>
    </row>
    <row r="10" spans="1:15" x14ac:dyDescent="0.45">
      <c r="A10" t="s">
        <v>76</v>
      </c>
      <c r="B10" s="1">
        <v>45314</v>
      </c>
      <c r="C10" t="s">
        <v>77</v>
      </c>
      <c r="D10" t="s">
        <v>24</v>
      </c>
      <c r="E10" t="s">
        <v>59</v>
      </c>
      <c r="F10" t="s">
        <v>60</v>
      </c>
      <c r="G10" t="s">
        <v>78</v>
      </c>
      <c r="H10">
        <v>13</v>
      </c>
      <c r="I10">
        <v>1750</v>
      </c>
      <c r="J10">
        <v>1300</v>
      </c>
      <c r="K10">
        <v>0.1</v>
      </c>
      <c r="L10">
        <v>20475</v>
      </c>
      <c r="M10">
        <v>1228.5</v>
      </c>
      <c r="N10">
        <v>3575</v>
      </c>
      <c r="O10">
        <v>0.17460317460317459</v>
      </c>
    </row>
    <row r="11" spans="1:15" x14ac:dyDescent="0.45">
      <c r="A11" t="s">
        <v>79</v>
      </c>
      <c r="B11" s="1">
        <v>45574</v>
      </c>
      <c r="C11" t="s">
        <v>80</v>
      </c>
      <c r="D11" t="s">
        <v>35</v>
      </c>
      <c r="E11" t="s">
        <v>54</v>
      </c>
      <c r="F11" t="s">
        <v>67</v>
      </c>
      <c r="G11" t="s">
        <v>81</v>
      </c>
      <c r="H11">
        <v>20</v>
      </c>
      <c r="I11">
        <v>110</v>
      </c>
      <c r="J11">
        <v>55</v>
      </c>
      <c r="K11">
        <v>0.15</v>
      </c>
      <c r="L11">
        <v>1870</v>
      </c>
      <c r="M11">
        <v>37.4</v>
      </c>
      <c r="N11">
        <v>770</v>
      </c>
      <c r="O11">
        <v>0.41176470588235298</v>
      </c>
    </row>
    <row r="12" spans="1:15" x14ac:dyDescent="0.45">
      <c r="A12" t="s">
        <v>82</v>
      </c>
      <c r="B12" s="1">
        <v>45587</v>
      </c>
      <c r="C12" t="s">
        <v>73</v>
      </c>
      <c r="D12" t="s">
        <v>31</v>
      </c>
      <c r="E12" t="s">
        <v>59</v>
      </c>
      <c r="F12" t="s">
        <v>67</v>
      </c>
      <c r="G12" t="s">
        <v>74</v>
      </c>
      <c r="H12">
        <v>2</v>
      </c>
      <c r="I12">
        <v>95</v>
      </c>
      <c r="J12">
        <v>44</v>
      </c>
      <c r="K12">
        <v>0</v>
      </c>
      <c r="L12">
        <v>190</v>
      </c>
      <c r="M12">
        <v>3.8</v>
      </c>
      <c r="N12">
        <v>102</v>
      </c>
      <c r="O12">
        <v>0.5368421052631579</v>
      </c>
    </row>
    <row r="13" spans="1:15" x14ac:dyDescent="0.45">
      <c r="A13" t="s">
        <v>83</v>
      </c>
      <c r="B13" s="1">
        <v>45440</v>
      </c>
      <c r="C13" t="s">
        <v>53</v>
      </c>
      <c r="D13" t="s">
        <v>35</v>
      </c>
      <c r="E13" t="s">
        <v>59</v>
      </c>
      <c r="F13" t="s">
        <v>55</v>
      </c>
      <c r="G13" t="s">
        <v>56</v>
      </c>
      <c r="H13">
        <v>4</v>
      </c>
      <c r="I13">
        <v>110</v>
      </c>
      <c r="J13">
        <v>55</v>
      </c>
      <c r="K13">
        <v>0</v>
      </c>
      <c r="L13">
        <v>440</v>
      </c>
      <c r="M13">
        <v>8.8000000000000007</v>
      </c>
      <c r="N13">
        <v>220</v>
      </c>
      <c r="O13">
        <v>0.5</v>
      </c>
    </row>
    <row r="14" spans="1:15" x14ac:dyDescent="0.45">
      <c r="A14" t="s">
        <v>84</v>
      </c>
      <c r="B14" s="1">
        <v>45434</v>
      </c>
      <c r="C14" t="s">
        <v>77</v>
      </c>
      <c r="D14" t="s">
        <v>28</v>
      </c>
      <c r="E14" t="s">
        <v>71</v>
      </c>
      <c r="F14" t="s">
        <v>60</v>
      </c>
      <c r="G14" t="s">
        <v>78</v>
      </c>
      <c r="H14">
        <v>6</v>
      </c>
      <c r="I14">
        <v>210</v>
      </c>
      <c r="J14">
        <v>120</v>
      </c>
      <c r="K14">
        <v>0.05</v>
      </c>
      <c r="L14">
        <v>1197</v>
      </c>
      <c r="M14">
        <v>23.94</v>
      </c>
      <c r="N14">
        <v>477</v>
      </c>
      <c r="O14">
        <v>0.39849624060150374</v>
      </c>
    </row>
    <row r="15" spans="1:15" x14ac:dyDescent="0.45">
      <c r="A15" t="s">
        <v>85</v>
      </c>
      <c r="B15" s="1">
        <v>45473</v>
      </c>
      <c r="C15" t="s">
        <v>73</v>
      </c>
      <c r="D15" t="s">
        <v>28</v>
      </c>
      <c r="E15" t="s">
        <v>71</v>
      </c>
      <c r="F15" t="s">
        <v>67</v>
      </c>
      <c r="G15" t="s">
        <v>74</v>
      </c>
      <c r="H15">
        <v>23</v>
      </c>
      <c r="I15">
        <v>210</v>
      </c>
      <c r="J15">
        <v>120</v>
      </c>
      <c r="K15">
        <v>0.2</v>
      </c>
      <c r="L15">
        <v>3864</v>
      </c>
      <c r="M15">
        <v>77.28</v>
      </c>
      <c r="N15">
        <v>1104</v>
      </c>
      <c r="O15">
        <v>0.2857142857142857</v>
      </c>
    </row>
    <row r="16" spans="1:15" x14ac:dyDescent="0.45">
      <c r="A16" t="s">
        <v>86</v>
      </c>
      <c r="B16" s="1">
        <v>45603</v>
      </c>
      <c r="C16" t="s">
        <v>58</v>
      </c>
      <c r="D16" t="s">
        <v>24</v>
      </c>
      <c r="E16" t="s">
        <v>54</v>
      </c>
      <c r="F16" t="s">
        <v>60</v>
      </c>
      <c r="G16" t="s">
        <v>61</v>
      </c>
      <c r="H16">
        <v>8</v>
      </c>
      <c r="I16">
        <v>1750</v>
      </c>
      <c r="J16">
        <v>1300</v>
      </c>
      <c r="K16">
        <v>0.05</v>
      </c>
      <c r="L16">
        <v>13300</v>
      </c>
      <c r="M16">
        <v>532</v>
      </c>
      <c r="N16">
        <v>2900</v>
      </c>
      <c r="O16">
        <v>0.21804511278195488</v>
      </c>
    </row>
    <row r="17" spans="1:15" x14ac:dyDescent="0.45">
      <c r="A17" t="s">
        <v>87</v>
      </c>
      <c r="B17" s="1">
        <v>45528</v>
      </c>
      <c r="C17" t="s">
        <v>63</v>
      </c>
      <c r="D17" t="s">
        <v>14</v>
      </c>
      <c r="E17" t="s">
        <v>54</v>
      </c>
      <c r="F17" t="s">
        <v>55</v>
      </c>
      <c r="G17" t="s">
        <v>64</v>
      </c>
      <c r="H17">
        <v>23</v>
      </c>
      <c r="I17">
        <v>240</v>
      </c>
      <c r="J17">
        <v>150</v>
      </c>
      <c r="K17">
        <v>0.2</v>
      </c>
      <c r="L17">
        <v>4416</v>
      </c>
      <c r="M17">
        <v>88.32</v>
      </c>
      <c r="N17">
        <v>966</v>
      </c>
      <c r="O17">
        <v>0.21875</v>
      </c>
    </row>
    <row r="18" spans="1:15" x14ac:dyDescent="0.45">
      <c r="A18" t="s">
        <v>88</v>
      </c>
      <c r="B18" s="1">
        <v>45642</v>
      </c>
      <c r="C18" t="s">
        <v>89</v>
      </c>
      <c r="D18" t="s">
        <v>35</v>
      </c>
      <c r="E18" t="s">
        <v>59</v>
      </c>
      <c r="F18" t="s">
        <v>55</v>
      </c>
      <c r="G18" t="s">
        <v>90</v>
      </c>
      <c r="H18">
        <v>8</v>
      </c>
      <c r="I18">
        <v>110</v>
      </c>
      <c r="J18">
        <v>55</v>
      </c>
      <c r="K18">
        <v>0.05</v>
      </c>
      <c r="L18">
        <v>836</v>
      </c>
      <c r="M18">
        <v>16.72</v>
      </c>
      <c r="N18">
        <v>396</v>
      </c>
      <c r="O18">
        <v>0.47368421052631576</v>
      </c>
    </row>
    <row r="19" spans="1:15" x14ac:dyDescent="0.45">
      <c r="A19" t="s">
        <v>91</v>
      </c>
      <c r="B19" s="1">
        <v>45453</v>
      </c>
      <c r="C19" t="s">
        <v>63</v>
      </c>
      <c r="D19" t="s">
        <v>14</v>
      </c>
      <c r="E19" t="s">
        <v>59</v>
      </c>
      <c r="F19" t="s">
        <v>55</v>
      </c>
      <c r="G19" t="s">
        <v>64</v>
      </c>
      <c r="H19">
        <v>7</v>
      </c>
      <c r="I19">
        <v>240</v>
      </c>
      <c r="J19">
        <v>150</v>
      </c>
      <c r="K19">
        <v>0.05</v>
      </c>
      <c r="L19">
        <v>1596</v>
      </c>
      <c r="M19">
        <v>31.92</v>
      </c>
      <c r="N19">
        <v>546</v>
      </c>
      <c r="O19">
        <v>0.34210526315789475</v>
      </c>
    </row>
    <row r="20" spans="1:15" x14ac:dyDescent="0.45">
      <c r="A20" t="s">
        <v>92</v>
      </c>
      <c r="B20" s="1">
        <v>45400</v>
      </c>
      <c r="C20" t="s">
        <v>77</v>
      </c>
      <c r="D20" t="s">
        <v>19</v>
      </c>
      <c r="E20" t="s">
        <v>54</v>
      </c>
      <c r="F20" t="s">
        <v>60</v>
      </c>
      <c r="G20" t="s">
        <v>78</v>
      </c>
      <c r="H20">
        <v>15</v>
      </c>
      <c r="I20">
        <v>180</v>
      </c>
      <c r="J20">
        <v>105</v>
      </c>
      <c r="K20">
        <v>0.1</v>
      </c>
      <c r="L20">
        <v>2430</v>
      </c>
      <c r="M20">
        <v>48.6</v>
      </c>
      <c r="N20">
        <v>855</v>
      </c>
      <c r="O20">
        <v>0.35185185185185186</v>
      </c>
    </row>
    <row r="21" spans="1:15" x14ac:dyDescent="0.45">
      <c r="A21" t="s">
        <v>93</v>
      </c>
      <c r="B21" s="1">
        <v>45427</v>
      </c>
      <c r="C21" t="s">
        <v>58</v>
      </c>
      <c r="D21" t="s">
        <v>12</v>
      </c>
      <c r="E21" t="s">
        <v>54</v>
      </c>
      <c r="F21" t="s">
        <v>60</v>
      </c>
      <c r="G21" t="s">
        <v>61</v>
      </c>
      <c r="H21">
        <v>18</v>
      </c>
      <c r="I21">
        <v>35</v>
      </c>
      <c r="J21">
        <v>14</v>
      </c>
      <c r="K21">
        <v>0.15</v>
      </c>
      <c r="L21">
        <v>535.5</v>
      </c>
      <c r="M21">
        <v>10.71</v>
      </c>
      <c r="N21">
        <v>283.5</v>
      </c>
      <c r="O21">
        <v>0.52941176470588236</v>
      </c>
    </row>
    <row r="22" spans="1:15" x14ac:dyDescent="0.45">
      <c r="A22" t="s">
        <v>94</v>
      </c>
      <c r="B22" s="1">
        <v>45591</v>
      </c>
      <c r="C22" t="s">
        <v>63</v>
      </c>
      <c r="D22" t="s">
        <v>38</v>
      </c>
      <c r="E22" t="s">
        <v>54</v>
      </c>
      <c r="F22" t="s">
        <v>55</v>
      </c>
      <c r="G22" t="s">
        <v>64</v>
      </c>
      <c r="H22">
        <v>13</v>
      </c>
      <c r="I22">
        <v>160</v>
      </c>
      <c r="J22">
        <v>88</v>
      </c>
      <c r="K22">
        <v>0.1</v>
      </c>
      <c r="L22">
        <v>1872</v>
      </c>
      <c r="M22">
        <v>37.44</v>
      </c>
      <c r="N22">
        <v>728</v>
      </c>
      <c r="O22">
        <v>0.3888888888888889</v>
      </c>
    </row>
    <row r="23" spans="1:15" x14ac:dyDescent="0.45">
      <c r="A23" t="s">
        <v>95</v>
      </c>
      <c r="B23" s="1">
        <v>45404</v>
      </c>
      <c r="C23" t="s">
        <v>58</v>
      </c>
      <c r="D23" t="s">
        <v>24</v>
      </c>
      <c r="E23" t="s">
        <v>71</v>
      </c>
      <c r="F23" t="s">
        <v>60</v>
      </c>
      <c r="G23" t="s">
        <v>61</v>
      </c>
      <c r="H23">
        <v>3</v>
      </c>
      <c r="I23">
        <v>1750</v>
      </c>
      <c r="J23">
        <v>1300</v>
      </c>
      <c r="K23">
        <v>0</v>
      </c>
      <c r="L23">
        <v>5250</v>
      </c>
      <c r="M23">
        <v>210</v>
      </c>
      <c r="N23">
        <v>1350</v>
      </c>
      <c r="O23">
        <v>0.25714285714285712</v>
      </c>
    </row>
    <row r="24" spans="1:15" x14ac:dyDescent="0.45">
      <c r="A24" t="s">
        <v>96</v>
      </c>
      <c r="B24" s="1">
        <v>45348</v>
      </c>
      <c r="C24" t="s">
        <v>58</v>
      </c>
      <c r="D24" t="s">
        <v>28</v>
      </c>
      <c r="E24" t="s">
        <v>59</v>
      </c>
      <c r="F24" t="s">
        <v>60</v>
      </c>
      <c r="G24" t="s">
        <v>61</v>
      </c>
      <c r="H24">
        <v>22</v>
      </c>
      <c r="I24">
        <v>210</v>
      </c>
      <c r="J24">
        <v>120</v>
      </c>
      <c r="K24">
        <v>0.2</v>
      </c>
      <c r="L24">
        <v>3696</v>
      </c>
      <c r="M24">
        <v>73.92</v>
      </c>
      <c r="N24">
        <v>1056</v>
      </c>
      <c r="O24">
        <v>0.2857142857142857</v>
      </c>
    </row>
    <row r="25" spans="1:15" x14ac:dyDescent="0.45">
      <c r="A25" t="s">
        <v>97</v>
      </c>
      <c r="B25" s="1">
        <v>45597</v>
      </c>
      <c r="C25" t="s">
        <v>53</v>
      </c>
      <c r="D25" t="s">
        <v>19</v>
      </c>
      <c r="E25" t="s">
        <v>71</v>
      </c>
      <c r="F25" t="s">
        <v>55</v>
      </c>
      <c r="G25" t="s">
        <v>56</v>
      </c>
      <c r="H25">
        <v>20</v>
      </c>
      <c r="I25">
        <v>180</v>
      </c>
      <c r="J25">
        <v>105</v>
      </c>
      <c r="K25">
        <v>0.15</v>
      </c>
      <c r="L25">
        <v>3060</v>
      </c>
      <c r="M25">
        <v>61.2</v>
      </c>
      <c r="N25">
        <v>960</v>
      </c>
      <c r="O25">
        <v>0.31372549019607843</v>
      </c>
    </row>
    <row r="26" spans="1:15" x14ac:dyDescent="0.45">
      <c r="A26" t="s">
        <v>98</v>
      </c>
      <c r="B26" s="1">
        <v>45562</v>
      </c>
      <c r="C26" t="s">
        <v>80</v>
      </c>
      <c r="D26" t="s">
        <v>24</v>
      </c>
      <c r="E26" t="s">
        <v>59</v>
      </c>
      <c r="F26" t="s">
        <v>67</v>
      </c>
      <c r="G26" t="s">
        <v>81</v>
      </c>
      <c r="H26">
        <v>22</v>
      </c>
      <c r="I26">
        <v>1750</v>
      </c>
      <c r="J26">
        <v>1300</v>
      </c>
      <c r="K26">
        <v>0.2</v>
      </c>
      <c r="L26">
        <v>30800</v>
      </c>
      <c r="M26">
        <v>1848</v>
      </c>
      <c r="N26">
        <v>2200</v>
      </c>
      <c r="O26">
        <v>7.1428571428571425E-2</v>
      </c>
    </row>
    <row r="27" spans="1:15" x14ac:dyDescent="0.45">
      <c r="A27" t="s">
        <v>99</v>
      </c>
      <c r="B27" s="1">
        <v>45641</v>
      </c>
      <c r="C27" t="s">
        <v>66</v>
      </c>
      <c r="D27" t="s">
        <v>33</v>
      </c>
      <c r="E27" t="s">
        <v>71</v>
      </c>
      <c r="F27" t="s">
        <v>67</v>
      </c>
      <c r="G27" t="s">
        <v>68</v>
      </c>
      <c r="H27">
        <v>25</v>
      </c>
      <c r="I27">
        <v>130</v>
      </c>
      <c r="J27">
        <v>62</v>
      </c>
      <c r="K27">
        <v>0.2</v>
      </c>
      <c r="L27">
        <v>2600</v>
      </c>
      <c r="M27">
        <v>52</v>
      </c>
      <c r="N27">
        <v>1050</v>
      </c>
      <c r="O27">
        <v>0.40384615384615385</v>
      </c>
    </row>
    <row r="28" spans="1:15" x14ac:dyDescent="0.45">
      <c r="A28" t="s">
        <v>100</v>
      </c>
      <c r="B28" s="1">
        <v>45349</v>
      </c>
      <c r="C28" t="s">
        <v>80</v>
      </c>
      <c r="D28" t="s">
        <v>19</v>
      </c>
      <c r="E28" t="s">
        <v>59</v>
      </c>
      <c r="F28" t="s">
        <v>67</v>
      </c>
      <c r="G28" t="s">
        <v>81</v>
      </c>
      <c r="H28">
        <v>15</v>
      </c>
      <c r="I28">
        <v>180</v>
      </c>
      <c r="J28">
        <v>105</v>
      </c>
      <c r="K28">
        <v>0.1</v>
      </c>
      <c r="L28">
        <v>2430</v>
      </c>
      <c r="M28">
        <v>48.6</v>
      </c>
      <c r="N28">
        <v>855</v>
      </c>
      <c r="O28">
        <v>0.35185185185185186</v>
      </c>
    </row>
    <row r="29" spans="1:15" x14ac:dyDescent="0.45">
      <c r="A29" t="s">
        <v>101</v>
      </c>
      <c r="B29" s="1">
        <v>45426</v>
      </c>
      <c r="C29" t="s">
        <v>66</v>
      </c>
      <c r="D29" t="s">
        <v>33</v>
      </c>
      <c r="E29" t="s">
        <v>59</v>
      </c>
      <c r="F29" t="s">
        <v>67</v>
      </c>
      <c r="G29" t="s">
        <v>68</v>
      </c>
      <c r="H29">
        <v>17</v>
      </c>
      <c r="I29">
        <v>130</v>
      </c>
      <c r="J29">
        <v>62</v>
      </c>
      <c r="K29">
        <v>0.15</v>
      </c>
      <c r="L29">
        <v>1878.5</v>
      </c>
      <c r="M29">
        <v>37.57</v>
      </c>
      <c r="N29">
        <v>824.5</v>
      </c>
      <c r="O29">
        <v>0.43891402714932126</v>
      </c>
    </row>
    <row r="30" spans="1:15" x14ac:dyDescent="0.45">
      <c r="A30" t="s">
        <v>102</v>
      </c>
      <c r="B30" s="1">
        <v>45612</v>
      </c>
      <c r="C30" t="s">
        <v>80</v>
      </c>
      <c r="D30" t="s">
        <v>35</v>
      </c>
      <c r="E30" t="s">
        <v>54</v>
      </c>
      <c r="F30" t="s">
        <v>67</v>
      </c>
      <c r="G30" t="s">
        <v>81</v>
      </c>
      <c r="H30">
        <v>17</v>
      </c>
      <c r="I30">
        <v>110</v>
      </c>
      <c r="J30">
        <v>55</v>
      </c>
      <c r="K30">
        <v>0.15</v>
      </c>
      <c r="L30">
        <v>1589.5</v>
      </c>
      <c r="M30">
        <v>31.79</v>
      </c>
      <c r="N30">
        <v>654.5</v>
      </c>
      <c r="O30">
        <v>0.41176470588235298</v>
      </c>
    </row>
    <row r="31" spans="1:15" x14ac:dyDescent="0.45">
      <c r="A31" t="s">
        <v>103</v>
      </c>
      <c r="B31" s="1">
        <v>45370</v>
      </c>
      <c r="C31" t="s">
        <v>89</v>
      </c>
      <c r="D31" t="s">
        <v>33</v>
      </c>
      <c r="E31" t="s">
        <v>59</v>
      </c>
      <c r="F31" t="s">
        <v>55</v>
      </c>
      <c r="G31" t="s">
        <v>90</v>
      </c>
      <c r="H31">
        <v>18</v>
      </c>
      <c r="I31">
        <v>130</v>
      </c>
      <c r="J31">
        <v>62</v>
      </c>
      <c r="K31">
        <v>0.15</v>
      </c>
      <c r="L31">
        <v>1989</v>
      </c>
      <c r="M31">
        <v>39.78</v>
      </c>
      <c r="N31">
        <v>873</v>
      </c>
      <c r="O31">
        <v>0.43891402714932126</v>
      </c>
    </row>
    <row r="32" spans="1:15" x14ac:dyDescent="0.45">
      <c r="A32" t="s">
        <v>104</v>
      </c>
      <c r="B32" s="1">
        <v>45598</v>
      </c>
      <c r="C32" t="s">
        <v>89</v>
      </c>
      <c r="D32" t="s">
        <v>21</v>
      </c>
      <c r="E32" t="s">
        <v>59</v>
      </c>
      <c r="F32" t="s">
        <v>55</v>
      </c>
      <c r="G32" t="s">
        <v>90</v>
      </c>
      <c r="H32">
        <v>4</v>
      </c>
      <c r="I32">
        <v>1150</v>
      </c>
      <c r="J32">
        <v>820</v>
      </c>
      <c r="K32">
        <v>0</v>
      </c>
      <c r="L32">
        <v>4600</v>
      </c>
      <c r="M32">
        <v>92</v>
      </c>
      <c r="N32">
        <v>1320</v>
      </c>
      <c r="O32">
        <v>0.28695652173913044</v>
      </c>
    </row>
    <row r="33" spans="1:15" x14ac:dyDescent="0.45">
      <c r="A33" t="s">
        <v>105</v>
      </c>
      <c r="B33" s="1">
        <v>45449</v>
      </c>
      <c r="C33" t="s">
        <v>73</v>
      </c>
      <c r="D33" t="s">
        <v>5</v>
      </c>
      <c r="E33" t="s">
        <v>59</v>
      </c>
      <c r="F33" t="s">
        <v>67</v>
      </c>
      <c r="G33" t="s">
        <v>74</v>
      </c>
      <c r="H33">
        <v>19</v>
      </c>
      <c r="I33">
        <v>25</v>
      </c>
      <c r="J33">
        <v>11</v>
      </c>
      <c r="K33">
        <v>0.15</v>
      </c>
      <c r="L33">
        <v>403.75</v>
      </c>
      <c r="M33">
        <v>8.0749999999999993</v>
      </c>
      <c r="N33">
        <v>194.75</v>
      </c>
      <c r="O33">
        <v>0.4823529411764706</v>
      </c>
    </row>
    <row r="34" spans="1:15" x14ac:dyDescent="0.45">
      <c r="A34" t="s">
        <v>106</v>
      </c>
      <c r="B34" s="1">
        <v>45335</v>
      </c>
      <c r="C34" t="s">
        <v>77</v>
      </c>
      <c r="D34" t="s">
        <v>35</v>
      </c>
      <c r="E34" t="s">
        <v>59</v>
      </c>
      <c r="F34" t="s">
        <v>60</v>
      </c>
      <c r="G34" t="s">
        <v>78</v>
      </c>
      <c r="H34">
        <v>25</v>
      </c>
      <c r="I34">
        <v>110</v>
      </c>
      <c r="J34">
        <v>55</v>
      </c>
      <c r="K34">
        <v>0.2</v>
      </c>
      <c r="L34">
        <v>2200</v>
      </c>
      <c r="M34">
        <v>44</v>
      </c>
      <c r="N34">
        <v>825</v>
      </c>
      <c r="O34">
        <v>0.375</v>
      </c>
    </row>
    <row r="35" spans="1:15" x14ac:dyDescent="0.45">
      <c r="A35" t="s">
        <v>107</v>
      </c>
      <c r="B35" s="1">
        <v>45357</v>
      </c>
      <c r="C35" t="s">
        <v>77</v>
      </c>
      <c r="D35" t="s">
        <v>24</v>
      </c>
      <c r="E35" t="s">
        <v>59</v>
      </c>
      <c r="F35" t="s">
        <v>60</v>
      </c>
      <c r="G35" t="s">
        <v>78</v>
      </c>
      <c r="H35">
        <v>9</v>
      </c>
      <c r="I35">
        <v>1750</v>
      </c>
      <c r="J35">
        <v>1300</v>
      </c>
      <c r="K35">
        <v>0.05</v>
      </c>
      <c r="L35">
        <v>14962.5</v>
      </c>
      <c r="M35">
        <v>598.5</v>
      </c>
      <c r="N35">
        <v>3262.5</v>
      </c>
      <c r="O35">
        <v>0.21804511278195488</v>
      </c>
    </row>
    <row r="36" spans="1:15" x14ac:dyDescent="0.45">
      <c r="A36" t="s">
        <v>108</v>
      </c>
      <c r="B36" s="1">
        <v>45400</v>
      </c>
      <c r="C36" t="s">
        <v>66</v>
      </c>
      <c r="D36" t="s">
        <v>33</v>
      </c>
      <c r="E36" t="s">
        <v>54</v>
      </c>
      <c r="F36" t="s">
        <v>67</v>
      </c>
      <c r="G36" t="s">
        <v>68</v>
      </c>
      <c r="H36">
        <v>23</v>
      </c>
      <c r="I36">
        <v>130</v>
      </c>
      <c r="J36">
        <v>62</v>
      </c>
      <c r="K36">
        <v>0.2</v>
      </c>
      <c r="L36">
        <v>2392</v>
      </c>
      <c r="M36">
        <v>47.84</v>
      </c>
      <c r="N36">
        <v>966</v>
      </c>
      <c r="O36">
        <v>0.40384615384615385</v>
      </c>
    </row>
    <row r="37" spans="1:15" x14ac:dyDescent="0.45">
      <c r="A37" t="s">
        <v>109</v>
      </c>
      <c r="B37" s="1">
        <v>45657</v>
      </c>
      <c r="C37" t="s">
        <v>80</v>
      </c>
      <c r="D37" t="s">
        <v>19</v>
      </c>
      <c r="E37" t="s">
        <v>54</v>
      </c>
      <c r="F37" t="s">
        <v>67</v>
      </c>
      <c r="G37" t="s">
        <v>81</v>
      </c>
      <c r="H37">
        <v>21</v>
      </c>
      <c r="I37">
        <v>180</v>
      </c>
      <c r="J37">
        <v>105</v>
      </c>
      <c r="K37">
        <v>0.2</v>
      </c>
      <c r="L37">
        <v>3024</v>
      </c>
      <c r="M37">
        <v>60.48</v>
      </c>
      <c r="N37">
        <v>819</v>
      </c>
      <c r="O37">
        <v>0.27083333333333331</v>
      </c>
    </row>
    <row r="38" spans="1:15" x14ac:dyDescent="0.45">
      <c r="A38" t="s">
        <v>110</v>
      </c>
      <c r="B38" s="1">
        <v>45516</v>
      </c>
      <c r="C38" t="s">
        <v>66</v>
      </c>
      <c r="D38" t="s">
        <v>21</v>
      </c>
      <c r="E38" t="s">
        <v>59</v>
      </c>
      <c r="F38" t="s">
        <v>67</v>
      </c>
      <c r="G38" t="s">
        <v>68</v>
      </c>
      <c r="H38">
        <v>8</v>
      </c>
      <c r="I38">
        <v>1150</v>
      </c>
      <c r="J38">
        <v>820</v>
      </c>
      <c r="K38">
        <v>0.05</v>
      </c>
      <c r="L38">
        <v>8740</v>
      </c>
      <c r="M38">
        <v>349.6</v>
      </c>
      <c r="N38">
        <v>2180</v>
      </c>
      <c r="O38">
        <v>0.2494279176201373</v>
      </c>
    </row>
    <row r="39" spans="1:15" x14ac:dyDescent="0.45">
      <c r="A39" t="s">
        <v>111</v>
      </c>
      <c r="B39" s="1">
        <v>45324</v>
      </c>
      <c r="C39" t="s">
        <v>89</v>
      </c>
      <c r="D39" t="s">
        <v>5</v>
      </c>
      <c r="E39" t="s">
        <v>54</v>
      </c>
      <c r="F39" t="s">
        <v>55</v>
      </c>
      <c r="G39" t="s">
        <v>90</v>
      </c>
      <c r="H39">
        <v>18</v>
      </c>
      <c r="I39">
        <v>25</v>
      </c>
      <c r="J39">
        <v>11</v>
      </c>
      <c r="K39">
        <v>0.15</v>
      </c>
      <c r="L39">
        <v>382.5</v>
      </c>
      <c r="M39">
        <v>7.65</v>
      </c>
      <c r="N39">
        <v>184.5</v>
      </c>
      <c r="O39">
        <v>0.4823529411764706</v>
      </c>
    </row>
    <row r="40" spans="1:15" x14ac:dyDescent="0.45">
      <c r="A40" t="s">
        <v>112</v>
      </c>
      <c r="B40" s="1">
        <v>45593</v>
      </c>
      <c r="C40" t="s">
        <v>73</v>
      </c>
      <c r="D40" t="s">
        <v>5</v>
      </c>
      <c r="E40" t="s">
        <v>59</v>
      </c>
      <c r="F40" t="s">
        <v>67</v>
      </c>
      <c r="G40" t="s">
        <v>74</v>
      </c>
      <c r="H40">
        <v>23</v>
      </c>
      <c r="I40">
        <v>25</v>
      </c>
      <c r="J40">
        <v>11</v>
      </c>
      <c r="K40">
        <v>0.2</v>
      </c>
      <c r="L40">
        <v>460</v>
      </c>
      <c r="M40">
        <v>9.1999999999999993</v>
      </c>
      <c r="N40">
        <v>207</v>
      </c>
      <c r="O40">
        <v>0.45</v>
      </c>
    </row>
    <row r="41" spans="1:15" x14ac:dyDescent="0.45">
      <c r="A41" t="s">
        <v>113</v>
      </c>
      <c r="B41" s="1">
        <v>45409</v>
      </c>
      <c r="C41" t="s">
        <v>53</v>
      </c>
      <c r="D41" t="s">
        <v>38</v>
      </c>
      <c r="E41" t="s">
        <v>59</v>
      </c>
      <c r="F41" t="s">
        <v>55</v>
      </c>
      <c r="G41" t="s">
        <v>56</v>
      </c>
      <c r="H41">
        <v>11</v>
      </c>
      <c r="I41">
        <v>160</v>
      </c>
      <c r="J41">
        <v>88</v>
      </c>
      <c r="K41">
        <v>0.1</v>
      </c>
      <c r="L41">
        <v>1584</v>
      </c>
      <c r="M41">
        <v>31.68</v>
      </c>
      <c r="N41">
        <v>616</v>
      </c>
      <c r="O41">
        <v>0.3888888888888889</v>
      </c>
    </row>
    <row r="42" spans="1:15" x14ac:dyDescent="0.45">
      <c r="A42" t="s">
        <v>114</v>
      </c>
      <c r="B42" s="1">
        <v>45555</v>
      </c>
      <c r="C42" t="s">
        <v>73</v>
      </c>
      <c r="D42" t="s">
        <v>14</v>
      </c>
      <c r="E42" t="s">
        <v>54</v>
      </c>
      <c r="F42" t="s">
        <v>67</v>
      </c>
      <c r="G42" t="s">
        <v>74</v>
      </c>
      <c r="H42">
        <v>16</v>
      </c>
      <c r="I42">
        <v>240</v>
      </c>
      <c r="J42">
        <v>150</v>
      </c>
      <c r="K42">
        <v>0.15</v>
      </c>
      <c r="L42">
        <v>3264</v>
      </c>
      <c r="M42">
        <v>65.28</v>
      </c>
      <c r="N42">
        <v>864</v>
      </c>
      <c r="O42">
        <v>0.26470588235294118</v>
      </c>
    </row>
    <row r="43" spans="1:15" x14ac:dyDescent="0.45">
      <c r="A43" t="s">
        <v>115</v>
      </c>
      <c r="B43" s="1">
        <v>45568</v>
      </c>
      <c r="C43" t="s">
        <v>58</v>
      </c>
      <c r="D43" t="s">
        <v>31</v>
      </c>
      <c r="E43" t="s">
        <v>54</v>
      </c>
      <c r="F43" t="s">
        <v>60</v>
      </c>
      <c r="G43" t="s">
        <v>61</v>
      </c>
      <c r="H43">
        <v>19</v>
      </c>
      <c r="I43">
        <v>95</v>
      </c>
      <c r="J43">
        <v>44</v>
      </c>
      <c r="K43">
        <v>0.15</v>
      </c>
      <c r="L43">
        <v>1534.25</v>
      </c>
      <c r="M43">
        <v>30.684999999999999</v>
      </c>
      <c r="N43">
        <v>698.25</v>
      </c>
      <c r="O43">
        <v>0.45510835913312686</v>
      </c>
    </row>
    <row r="44" spans="1:15" x14ac:dyDescent="0.45">
      <c r="A44" t="s">
        <v>116</v>
      </c>
      <c r="B44" s="1">
        <v>45416</v>
      </c>
      <c r="C44" t="s">
        <v>77</v>
      </c>
      <c r="D44" t="s">
        <v>33</v>
      </c>
      <c r="E44" t="s">
        <v>71</v>
      </c>
      <c r="F44" t="s">
        <v>60</v>
      </c>
      <c r="G44" t="s">
        <v>78</v>
      </c>
      <c r="H44">
        <v>7</v>
      </c>
      <c r="I44">
        <v>130</v>
      </c>
      <c r="J44">
        <v>62</v>
      </c>
      <c r="K44">
        <v>0.05</v>
      </c>
      <c r="L44">
        <v>864.5</v>
      </c>
      <c r="M44">
        <v>17.29</v>
      </c>
      <c r="N44">
        <v>430.5</v>
      </c>
      <c r="O44">
        <v>0.49797570850202422</v>
      </c>
    </row>
    <row r="45" spans="1:15" x14ac:dyDescent="0.45">
      <c r="A45" t="s">
        <v>117</v>
      </c>
      <c r="B45" s="1">
        <v>45341</v>
      </c>
      <c r="C45" t="s">
        <v>63</v>
      </c>
      <c r="D45" t="s">
        <v>17</v>
      </c>
      <c r="E45" t="s">
        <v>71</v>
      </c>
      <c r="F45" t="s">
        <v>55</v>
      </c>
      <c r="G45" t="s">
        <v>64</v>
      </c>
      <c r="H45">
        <v>14</v>
      </c>
      <c r="I45">
        <v>520</v>
      </c>
      <c r="J45">
        <v>360</v>
      </c>
      <c r="K45">
        <v>0.1</v>
      </c>
      <c r="L45">
        <v>6552</v>
      </c>
      <c r="M45">
        <v>262.08</v>
      </c>
      <c r="N45">
        <v>1512</v>
      </c>
      <c r="O45">
        <v>0.23076923076923081</v>
      </c>
    </row>
    <row r="46" spans="1:15" x14ac:dyDescent="0.45">
      <c r="A46" t="s">
        <v>118</v>
      </c>
      <c r="B46" s="1">
        <v>45319</v>
      </c>
      <c r="C46" t="s">
        <v>53</v>
      </c>
      <c r="D46" t="s">
        <v>5</v>
      </c>
      <c r="E46" t="s">
        <v>71</v>
      </c>
      <c r="F46" t="s">
        <v>55</v>
      </c>
      <c r="G46" t="s">
        <v>56</v>
      </c>
      <c r="H46">
        <v>24</v>
      </c>
      <c r="I46">
        <v>25</v>
      </c>
      <c r="J46">
        <v>11</v>
      </c>
      <c r="K46">
        <v>0.2</v>
      </c>
      <c r="L46">
        <v>480</v>
      </c>
      <c r="M46">
        <v>9.6</v>
      </c>
      <c r="N46">
        <v>216</v>
      </c>
      <c r="O46">
        <v>0.45</v>
      </c>
    </row>
    <row r="47" spans="1:15" x14ac:dyDescent="0.45">
      <c r="A47" t="s">
        <v>119</v>
      </c>
      <c r="B47" s="1">
        <v>45347</v>
      </c>
      <c r="C47" t="s">
        <v>73</v>
      </c>
      <c r="D47" t="s">
        <v>12</v>
      </c>
      <c r="E47" t="s">
        <v>59</v>
      </c>
      <c r="F47" t="s">
        <v>67</v>
      </c>
      <c r="G47" t="s">
        <v>74</v>
      </c>
      <c r="H47">
        <v>18</v>
      </c>
      <c r="I47">
        <v>35</v>
      </c>
      <c r="J47">
        <v>14</v>
      </c>
      <c r="K47">
        <v>0.15</v>
      </c>
      <c r="L47">
        <v>535.5</v>
      </c>
      <c r="M47">
        <v>10.71</v>
      </c>
      <c r="N47">
        <v>283.5</v>
      </c>
      <c r="O47">
        <v>0.52941176470588236</v>
      </c>
    </row>
    <row r="48" spans="1:15" x14ac:dyDescent="0.45">
      <c r="A48" t="s">
        <v>120</v>
      </c>
      <c r="B48" s="1">
        <v>45363</v>
      </c>
      <c r="C48" t="s">
        <v>63</v>
      </c>
      <c r="D48" t="s">
        <v>10</v>
      </c>
      <c r="E48" t="s">
        <v>71</v>
      </c>
      <c r="F48" t="s">
        <v>55</v>
      </c>
      <c r="G48" t="s">
        <v>64</v>
      </c>
      <c r="H48">
        <v>15</v>
      </c>
      <c r="I48">
        <v>45</v>
      </c>
      <c r="J48">
        <v>19</v>
      </c>
      <c r="K48">
        <v>0.1</v>
      </c>
      <c r="L48">
        <v>607.5</v>
      </c>
      <c r="M48">
        <v>12.15</v>
      </c>
      <c r="N48">
        <v>322.5</v>
      </c>
      <c r="O48">
        <v>0.53086419753086422</v>
      </c>
    </row>
    <row r="49" spans="1:15" x14ac:dyDescent="0.45">
      <c r="A49" t="s">
        <v>121</v>
      </c>
      <c r="B49" s="1">
        <v>45330</v>
      </c>
      <c r="C49" t="s">
        <v>77</v>
      </c>
      <c r="D49" t="s">
        <v>33</v>
      </c>
      <c r="E49" t="s">
        <v>54</v>
      </c>
      <c r="F49" t="s">
        <v>60</v>
      </c>
      <c r="G49" t="s">
        <v>78</v>
      </c>
      <c r="H49">
        <v>4</v>
      </c>
      <c r="I49">
        <v>130</v>
      </c>
      <c r="J49">
        <v>62</v>
      </c>
      <c r="K49">
        <v>0</v>
      </c>
      <c r="L49">
        <v>520</v>
      </c>
      <c r="M49">
        <v>10.4</v>
      </c>
      <c r="N49">
        <v>272</v>
      </c>
      <c r="O49">
        <v>0.52307692307692311</v>
      </c>
    </row>
    <row r="50" spans="1:15" x14ac:dyDescent="0.45">
      <c r="A50" t="s">
        <v>122</v>
      </c>
      <c r="B50" s="1">
        <v>45625</v>
      </c>
      <c r="C50" t="s">
        <v>66</v>
      </c>
      <c r="D50" t="s">
        <v>35</v>
      </c>
      <c r="E50" t="s">
        <v>59</v>
      </c>
      <c r="F50" t="s">
        <v>67</v>
      </c>
      <c r="G50" t="s">
        <v>68</v>
      </c>
      <c r="H50">
        <v>3</v>
      </c>
      <c r="I50">
        <v>110</v>
      </c>
      <c r="J50">
        <v>55</v>
      </c>
      <c r="K50">
        <v>0</v>
      </c>
      <c r="L50">
        <v>330</v>
      </c>
      <c r="M50">
        <v>6.6</v>
      </c>
      <c r="N50">
        <v>165</v>
      </c>
      <c r="O50">
        <v>0.5</v>
      </c>
    </row>
    <row r="51" spans="1:15" x14ac:dyDescent="0.45">
      <c r="A51" t="s">
        <v>123</v>
      </c>
      <c r="B51" s="1">
        <v>45377</v>
      </c>
      <c r="C51" t="s">
        <v>63</v>
      </c>
      <c r="D51" t="s">
        <v>21</v>
      </c>
      <c r="E51" t="s">
        <v>71</v>
      </c>
      <c r="F51" t="s">
        <v>55</v>
      </c>
      <c r="G51" t="s">
        <v>64</v>
      </c>
      <c r="H51">
        <v>7</v>
      </c>
      <c r="I51">
        <v>1150</v>
      </c>
      <c r="J51">
        <v>820</v>
      </c>
      <c r="K51">
        <v>0.05</v>
      </c>
      <c r="L51">
        <v>7647.5</v>
      </c>
      <c r="M51">
        <v>305.89999999999998</v>
      </c>
      <c r="N51">
        <v>1907.5</v>
      </c>
      <c r="O51">
        <v>0.2494279176201373</v>
      </c>
    </row>
    <row r="52" spans="1:15" x14ac:dyDescent="0.45">
      <c r="A52" t="s">
        <v>124</v>
      </c>
      <c r="B52" s="1">
        <v>45322</v>
      </c>
      <c r="C52" t="s">
        <v>58</v>
      </c>
      <c r="D52" t="s">
        <v>19</v>
      </c>
      <c r="E52" t="s">
        <v>59</v>
      </c>
      <c r="F52" t="s">
        <v>60</v>
      </c>
      <c r="G52" t="s">
        <v>61</v>
      </c>
      <c r="H52">
        <v>13</v>
      </c>
      <c r="I52">
        <v>180</v>
      </c>
      <c r="J52">
        <v>105</v>
      </c>
      <c r="K52">
        <v>0.1</v>
      </c>
      <c r="L52">
        <v>2106</v>
      </c>
      <c r="M52">
        <v>42.12</v>
      </c>
      <c r="N52">
        <v>741</v>
      </c>
      <c r="O52">
        <v>0.35185185185185186</v>
      </c>
    </row>
    <row r="53" spans="1:15" x14ac:dyDescent="0.45">
      <c r="A53" t="s">
        <v>125</v>
      </c>
      <c r="B53" s="1">
        <v>45524</v>
      </c>
      <c r="C53" t="s">
        <v>80</v>
      </c>
      <c r="D53" t="s">
        <v>19</v>
      </c>
      <c r="E53" t="s">
        <v>54</v>
      </c>
      <c r="F53" t="s">
        <v>67</v>
      </c>
      <c r="G53" t="s">
        <v>81</v>
      </c>
      <c r="H53">
        <v>24</v>
      </c>
      <c r="I53">
        <v>180</v>
      </c>
      <c r="J53">
        <v>105</v>
      </c>
      <c r="K53">
        <v>0.2</v>
      </c>
      <c r="L53">
        <v>3456</v>
      </c>
      <c r="M53">
        <v>69.12</v>
      </c>
      <c r="N53">
        <v>936</v>
      </c>
      <c r="O53">
        <v>0.27083333333333331</v>
      </c>
    </row>
    <row r="54" spans="1:15" x14ac:dyDescent="0.45">
      <c r="A54" t="s">
        <v>126</v>
      </c>
      <c r="B54" s="1">
        <v>45371</v>
      </c>
      <c r="C54" t="s">
        <v>73</v>
      </c>
      <c r="D54" t="s">
        <v>14</v>
      </c>
      <c r="E54" t="s">
        <v>59</v>
      </c>
      <c r="F54" t="s">
        <v>67</v>
      </c>
      <c r="G54" t="s">
        <v>74</v>
      </c>
      <c r="H54">
        <v>2</v>
      </c>
      <c r="I54">
        <v>240</v>
      </c>
      <c r="J54">
        <v>150</v>
      </c>
      <c r="K54">
        <v>0</v>
      </c>
      <c r="L54">
        <v>480</v>
      </c>
      <c r="M54">
        <v>9.6</v>
      </c>
      <c r="N54">
        <v>180</v>
      </c>
      <c r="O54">
        <v>0.375</v>
      </c>
    </row>
    <row r="55" spans="1:15" x14ac:dyDescent="0.45">
      <c r="A55" t="s">
        <v>127</v>
      </c>
      <c r="B55" s="1">
        <v>45452</v>
      </c>
      <c r="C55" t="s">
        <v>128</v>
      </c>
      <c r="D55" t="s">
        <v>5</v>
      </c>
      <c r="E55" t="s">
        <v>54</v>
      </c>
      <c r="F55" t="s">
        <v>55</v>
      </c>
      <c r="G55" t="s">
        <v>129</v>
      </c>
      <c r="H55">
        <v>16</v>
      </c>
      <c r="I55">
        <v>25</v>
      </c>
      <c r="J55">
        <v>11</v>
      </c>
      <c r="K55">
        <v>0.15</v>
      </c>
      <c r="L55">
        <v>340</v>
      </c>
      <c r="M55">
        <v>6.8</v>
      </c>
      <c r="N55">
        <v>164</v>
      </c>
      <c r="O55">
        <v>0.4823529411764706</v>
      </c>
    </row>
    <row r="56" spans="1:15" x14ac:dyDescent="0.45">
      <c r="A56" t="s">
        <v>130</v>
      </c>
      <c r="B56" s="1">
        <v>45321</v>
      </c>
      <c r="C56" t="s">
        <v>66</v>
      </c>
      <c r="D56" t="s">
        <v>8</v>
      </c>
      <c r="E56" t="s">
        <v>59</v>
      </c>
      <c r="F56" t="s">
        <v>67</v>
      </c>
      <c r="G56" t="s">
        <v>68</v>
      </c>
      <c r="H56">
        <v>3</v>
      </c>
      <c r="I56">
        <v>79</v>
      </c>
      <c r="J56">
        <v>38</v>
      </c>
      <c r="K56">
        <v>0</v>
      </c>
      <c r="L56">
        <v>237</v>
      </c>
      <c r="M56">
        <v>4.74</v>
      </c>
      <c r="N56">
        <v>123</v>
      </c>
      <c r="O56">
        <v>0.51898734177215189</v>
      </c>
    </row>
    <row r="57" spans="1:15" x14ac:dyDescent="0.45">
      <c r="A57" t="s">
        <v>131</v>
      </c>
      <c r="B57" s="1">
        <v>45637</v>
      </c>
      <c r="C57" t="s">
        <v>73</v>
      </c>
      <c r="D57" t="s">
        <v>19</v>
      </c>
      <c r="E57" t="s">
        <v>59</v>
      </c>
      <c r="F57" t="s">
        <v>67</v>
      </c>
      <c r="G57" t="s">
        <v>74</v>
      </c>
      <c r="H57">
        <v>19</v>
      </c>
      <c r="I57">
        <v>180</v>
      </c>
      <c r="J57">
        <v>105</v>
      </c>
      <c r="K57">
        <v>0.15</v>
      </c>
      <c r="L57">
        <v>2907</v>
      </c>
      <c r="M57">
        <v>58.14</v>
      </c>
      <c r="N57">
        <v>912</v>
      </c>
      <c r="O57">
        <v>0.31372549019607843</v>
      </c>
    </row>
    <row r="58" spans="1:15" x14ac:dyDescent="0.45">
      <c r="A58" t="s">
        <v>132</v>
      </c>
      <c r="B58" s="1">
        <v>45588</v>
      </c>
      <c r="C58" t="s">
        <v>133</v>
      </c>
      <c r="D58" t="s">
        <v>5</v>
      </c>
      <c r="E58" t="s">
        <v>54</v>
      </c>
      <c r="F58" t="s">
        <v>67</v>
      </c>
      <c r="G58" t="s">
        <v>134</v>
      </c>
      <c r="H58">
        <v>3</v>
      </c>
      <c r="I58">
        <v>25</v>
      </c>
      <c r="J58">
        <v>11</v>
      </c>
      <c r="K58">
        <v>0</v>
      </c>
      <c r="L58">
        <v>75</v>
      </c>
      <c r="M58">
        <v>1.5</v>
      </c>
      <c r="N58">
        <v>42</v>
      </c>
      <c r="O58">
        <v>0.56000000000000005</v>
      </c>
    </row>
    <row r="59" spans="1:15" x14ac:dyDescent="0.45">
      <c r="A59" t="s">
        <v>135</v>
      </c>
      <c r="B59" s="1">
        <v>45628</v>
      </c>
      <c r="C59" t="s">
        <v>133</v>
      </c>
      <c r="D59" t="s">
        <v>26</v>
      </c>
      <c r="E59" t="s">
        <v>54</v>
      </c>
      <c r="F59" t="s">
        <v>67</v>
      </c>
      <c r="G59" t="s">
        <v>134</v>
      </c>
      <c r="H59">
        <v>11</v>
      </c>
      <c r="I59">
        <v>1050</v>
      </c>
      <c r="J59">
        <v>760</v>
      </c>
      <c r="K59">
        <v>0.1</v>
      </c>
      <c r="L59">
        <v>10395</v>
      </c>
      <c r="M59">
        <v>415.8</v>
      </c>
      <c r="N59">
        <v>2035</v>
      </c>
      <c r="O59">
        <v>0.19576719576719576</v>
      </c>
    </row>
    <row r="60" spans="1:15" x14ac:dyDescent="0.45">
      <c r="A60" t="s">
        <v>136</v>
      </c>
      <c r="B60" s="1">
        <v>45396</v>
      </c>
      <c r="C60" t="s">
        <v>89</v>
      </c>
      <c r="D60" t="s">
        <v>12</v>
      </c>
      <c r="E60" t="s">
        <v>71</v>
      </c>
      <c r="F60" t="s">
        <v>55</v>
      </c>
      <c r="G60" t="s">
        <v>90</v>
      </c>
      <c r="H60">
        <v>13</v>
      </c>
      <c r="I60">
        <v>35</v>
      </c>
      <c r="J60">
        <v>14</v>
      </c>
      <c r="K60">
        <v>0.1</v>
      </c>
      <c r="L60">
        <v>409.5</v>
      </c>
      <c r="M60">
        <v>8.19</v>
      </c>
      <c r="N60">
        <v>227.5</v>
      </c>
      <c r="O60">
        <v>0.55555555555555558</v>
      </c>
    </row>
    <row r="61" spans="1:15" x14ac:dyDescent="0.45">
      <c r="A61" t="s">
        <v>137</v>
      </c>
      <c r="B61" s="1">
        <v>45635</v>
      </c>
      <c r="C61" t="s">
        <v>80</v>
      </c>
      <c r="D61" t="s">
        <v>21</v>
      </c>
      <c r="E61" t="s">
        <v>71</v>
      </c>
      <c r="F61" t="s">
        <v>67</v>
      </c>
      <c r="G61" t="s">
        <v>81</v>
      </c>
      <c r="H61">
        <v>25</v>
      </c>
      <c r="I61">
        <v>1150</v>
      </c>
      <c r="J61">
        <v>820</v>
      </c>
      <c r="K61">
        <v>0.2</v>
      </c>
      <c r="L61">
        <v>23000</v>
      </c>
      <c r="M61">
        <v>1380</v>
      </c>
      <c r="N61">
        <v>2500</v>
      </c>
      <c r="O61">
        <v>0.10869565217391304</v>
      </c>
    </row>
    <row r="62" spans="1:15" x14ac:dyDescent="0.45">
      <c r="A62" t="s">
        <v>138</v>
      </c>
      <c r="B62" s="1">
        <v>45296</v>
      </c>
      <c r="C62" t="s">
        <v>77</v>
      </c>
      <c r="D62" t="s">
        <v>26</v>
      </c>
      <c r="E62" t="s">
        <v>54</v>
      </c>
      <c r="F62" t="s">
        <v>60</v>
      </c>
      <c r="G62" t="s">
        <v>78</v>
      </c>
      <c r="H62">
        <v>4</v>
      </c>
      <c r="I62">
        <v>1050</v>
      </c>
      <c r="J62">
        <v>760</v>
      </c>
      <c r="K62">
        <v>0</v>
      </c>
      <c r="L62">
        <v>4200</v>
      </c>
      <c r="M62">
        <v>84</v>
      </c>
      <c r="N62">
        <v>1160</v>
      </c>
      <c r="O62">
        <v>0.27619047619047621</v>
      </c>
    </row>
    <row r="63" spans="1:15" x14ac:dyDescent="0.45">
      <c r="A63" t="s">
        <v>139</v>
      </c>
      <c r="B63" s="1">
        <v>45567</v>
      </c>
      <c r="C63" t="s">
        <v>73</v>
      </c>
      <c r="D63" t="s">
        <v>24</v>
      </c>
      <c r="E63" t="s">
        <v>71</v>
      </c>
      <c r="F63" t="s">
        <v>67</v>
      </c>
      <c r="G63" t="s">
        <v>74</v>
      </c>
      <c r="H63">
        <v>5</v>
      </c>
      <c r="I63">
        <v>1750</v>
      </c>
      <c r="J63">
        <v>1300</v>
      </c>
      <c r="K63">
        <v>0</v>
      </c>
      <c r="L63">
        <v>8750</v>
      </c>
      <c r="M63">
        <v>350</v>
      </c>
      <c r="N63">
        <v>2250</v>
      </c>
      <c r="O63">
        <v>0.25714285714285712</v>
      </c>
    </row>
    <row r="64" spans="1:15" x14ac:dyDescent="0.45">
      <c r="A64" t="s">
        <v>140</v>
      </c>
      <c r="B64" s="1">
        <v>45327</v>
      </c>
      <c r="C64" t="s">
        <v>73</v>
      </c>
      <c r="D64" t="s">
        <v>17</v>
      </c>
      <c r="E64" t="s">
        <v>71</v>
      </c>
      <c r="F64" t="s">
        <v>67</v>
      </c>
      <c r="G64" t="s">
        <v>74</v>
      </c>
      <c r="H64">
        <v>6</v>
      </c>
      <c r="I64">
        <v>520</v>
      </c>
      <c r="J64">
        <v>360</v>
      </c>
      <c r="K64">
        <v>0.05</v>
      </c>
      <c r="L64">
        <v>2964</v>
      </c>
      <c r="M64">
        <v>59.28</v>
      </c>
      <c r="N64">
        <v>804</v>
      </c>
      <c r="O64">
        <v>0.27125506072874495</v>
      </c>
    </row>
    <row r="65" spans="1:15" x14ac:dyDescent="0.45">
      <c r="A65" t="s">
        <v>141</v>
      </c>
      <c r="B65" s="1">
        <v>45570</v>
      </c>
      <c r="C65" t="s">
        <v>80</v>
      </c>
      <c r="D65" t="s">
        <v>26</v>
      </c>
      <c r="E65" t="s">
        <v>54</v>
      </c>
      <c r="F65" t="s">
        <v>67</v>
      </c>
      <c r="G65" t="s">
        <v>81</v>
      </c>
      <c r="H65">
        <v>17</v>
      </c>
      <c r="I65">
        <v>1050</v>
      </c>
      <c r="J65">
        <v>760</v>
      </c>
      <c r="K65">
        <v>0.15</v>
      </c>
      <c r="L65">
        <v>15172.5</v>
      </c>
      <c r="M65">
        <v>910.35</v>
      </c>
      <c r="N65">
        <v>2252.5</v>
      </c>
      <c r="O65">
        <v>0.1484593837535014</v>
      </c>
    </row>
    <row r="66" spans="1:15" x14ac:dyDescent="0.45">
      <c r="A66" t="s">
        <v>142</v>
      </c>
      <c r="B66" s="1">
        <v>45633</v>
      </c>
      <c r="C66" t="s">
        <v>66</v>
      </c>
      <c r="D66" t="s">
        <v>14</v>
      </c>
      <c r="E66" t="s">
        <v>54</v>
      </c>
      <c r="F66" t="s">
        <v>67</v>
      </c>
      <c r="G66" t="s">
        <v>68</v>
      </c>
      <c r="H66">
        <v>4</v>
      </c>
      <c r="I66">
        <v>240</v>
      </c>
      <c r="J66">
        <v>150</v>
      </c>
      <c r="K66">
        <v>0</v>
      </c>
      <c r="L66">
        <v>960</v>
      </c>
      <c r="M66">
        <v>19.2</v>
      </c>
      <c r="N66">
        <v>360</v>
      </c>
      <c r="O66">
        <v>0.375</v>
      </c>
    </row>
    <row r="67" spans="1:15" x14ac:dyDescent="0.45">
      <c r="A67" t="s">
        <v>143</v>
      </c>
      <c r="B67" s="1">
        <v>45427</v>
      </c>
      <c r="C67" t="s">
        <v>53</v>
      </c>
      <c r="D67" t="s">
        <v>38</v>
      </c>
      <c r="E67" t="s">
        <v>59</v>
      </c>
      <c r="F67" t="s">
        <v>55</v>
      </c>
      <c r="G67" t="s">
        <v>56</v>
      </c>
      <c r="H67">
        <v>24</v>
      </c>
      <c r="I67">
        <v>160</v>
      </c>
      <c r="J67">
        <v>88</v>
      </c>
      <c r="K67">
        <v>0.2</v>
      </c>
      <c r="L67">
        <v>3072</v>
      </c>
      <c r="M67">
        <v>61.44</v>
      </c>
      <c r="N67">
        <v>960</v>
      </c>
      <c r="O67">
        <v>0.3125</v>
      </c>
    </row>
    <row r="68" spans="1:15" x14ac:dyDescent="0.45">
      <c r="A68" t="s">
        <v>144</v>
      </c>
      <c r="B68" s="1">
        <v>45431</v>
      </c>
      <c r="C68" t="s">
        <v>80</v>
      </c>
      <c r="D68" t="s">
        <v>26</v>
      </c>
      <c r="E68" t="s">
        <v>59</v>
      </c>
      <c r="F68" t="s">
        <v>67</v>
      </c>
      <c r="G68" t="s">
        <v>81</v>
      </c>
      <c r="H68">
        <v>23</v>
      </c>
      <c r="I68">
        <v>1050</v>
      </c>
      <c r="J68">
        <v>760</v>
      </c>
      <c r="K68">
        <v>0.2</v>
      </c>
      <c r="L68">
        <v>19320</v>
      </c>
      <c r="M68">
        <v>1159.2</v>
      </c>
      <c r="N68">
        <v>1840</v>
      </c>
      <c r="O68">
        <v>9.5238095238095233E-2</v>
      </c>
    </row>
    <row r="69" spans="1:15" x14ac:dyDescent="0.45">
      <c r="A69" t="s">
        <v>145</v>
      </c>
      <c r="B69" s="1">
        <v>45396</v>
      </c>
      <c r="C69" t="s">
        <v>80</v>
      </c>
      <c r="D69" t="s">
        <v>24</v>
      </c>
      <c r="E69" t="s">
        <v>71</v>
      </c>
      <c r="F69" t="s">
        <v>67</v>
      </c>
      <c r="G69" t="s">
        <v>81</v>
      </c>
      <c r="H69">
        <v>9</v>
      </c>
      <c r="I69">
        <v>1750</v>
      </c>
      <c r="J69">
        <v>1300</v>
      </c>
      <c r="K69">
        <v>0.05</v>
      </c>
      <c r="L69">
        <v>14962.5</v>
      </c>
      <c r="M69">
        <v>598.5</v>
      </c>
      <c r="N69">
        <v>3262.5</v>
      </c>
      <c r="O69">
        <v>0.21804511278195488</v>
      </c>
    </row>
    <row r="70" spans="1:15" x14ac:dyDescent="0.45">
      <c r="A70" t="s">
        <v>146</v>
      </c>
      <c r="B70" s="1">
        <v>45339</v>
      </c>
      <c r="C70" t="s">
        <v>63</v>
      </c>
      <c r="D70" t="s">
        <v>35</v>
      </c>
      <c r="E70" t="s">
        <v>71</v>
      </c>
      <c r="F70" t="s">
        <v>55</v>
      </c>
      <c r="G70" t="s">
        <v>64</v>
      </c>
      <c r="H70">
        <v>2</v>
      </c>
      <c r="I70">
        <v>110</v>
      </c>
      <c r="J70">
        <v>55</v>
      </c>
      <c r="K70">
        <v>0</v>
      </c>
      <c r="L70">
        <v>220</v>
      </c>
      <c r="M70">
        <v>4.4000000000000004</v>
      </c>
      <c r="N70">
        <v>110</v>
      </c>
      <c r="O70">
        <v>0.5</v>
      </c>
    </row>
    <row r="71" spans="1:15" x14ac:dyDescent="0.45">
      <c r="A71" t="s">
        <v>147</v>
      </c>
      <c r="B71" s="1">
        <v>45462</v>
      </c>
      <c r="C71" t="s">
        <v>58</v>
      </c>
      <c r="D71" t="s">
        <v>28</v>
      </c>
      <c r="E71" t="s">
        <v>71</v>
      </c>
      <c r="F71" t="s">
        <v>60</v>
      </c>
      <c r="G71" t="s">
        <v>61</v>
      </c>
      <c r="H71">
        <v>6</v>
      </c>
      <c r="I71">
        <v>210</v>
      </c>
      <c r="J71">
        <v>120</v>
      </c>
      <c r="K71">
        <v>0.05</v>
      </c>
      <c r="L71">
        <v>1197</v>
      </c>
      <c r="M71">
        <v>23.94</v>
      </c>
      <c r="N71">
        <v>477</v>
      </c>
      <c r="O71">
        <v>0.39849624060150374</v>
      </c>
    </row>
    <row r="72" spans="1:15" x14ac:dyDescent="0.45">
      <c r="A72" t="s">
        <v>148</v>
      </c>
      <c r="B72" s="1">
        <v>45574</v>
      </c>
      <c r="C72" t="s">
        <v>63</v>
      </c>
      <c r="D72" t="s">
        <v>24</v>
      </c>
      <c r="E72" t="s">
        <v>59</v>
      </c>
      <c r="F72" t="s">
        <v>55</v>
      </c>
      <c r="G72" t="s">
        <v>64</v>
      </c>
      <c r="H72">
        <v>4</v>
      </c>
      <c r="I72">
        <v>1750</v>
      </c>
      <c r="J72">
        <v>1300</v>
      </c>
      <c r="K72">
        <v>0</v>
      </c>
      <c r="L72">
        <v>7000</v>
      </c>
      <c r="M72">
        <v>280</v>
      </c>
      <c r="N72">
        <v>1800</v>
      </c>
      <c r="O72">
        <v>0.25714285714285712</v>
      </c>
    </row>
    <row r="73" spans="1:15" x14ac:dyDescent="0.45">
      <c r="A73" t="s">
        <v>149</v>
      </c>
      <c r="B73" s="1">
        <v>45645</v>
      </c>
      <c r="C73" t="s">
        <v>58</v>
      </c>
      <c r="D73" t="s">
        <v>24</v>
      </c>
      <c r="E73" t="s">
        <v>59</v>
      </c>
      <c r="F73" t="s">
        <v>60</v>
      </c>
      <c r="G73" t="s">
        <v>61</v>
      </c>
      <c r="H73">
        <v>12</v>
      </c>
      <c r="I73">
        <v>1750</v>
      </c>
      <c r="J73">
        <v>1300</v>
      </c>
      <c r="K73">
        <v>0.1</v>
      </c>
      <c r="L73">
        <v>18900</v>
      </c>
      <c r="M73">
        <v>1134</v>
      </c>
      <c r="N73">
        <v>3300</v>
      </c>
      <c r="O73">
        <v>0.17460317460317459</v>
      </c>
    </row>
    <row r="74" spans="1:15" x14ac:dyDescent="0.45">
      <c r="A74" t="s">
        <v>150</v>
      </c>
      <c r="B74" s="1">
        <v>45512</v>
      </c>
      <c r="C74" t="s">
        <v>58</v>
      </c>
      <c r="D74" t="s">
        <v>5</v>
      </c>
      <c r="E74" t="s">
        <v>71</v>
      </c>
      <c r="F74" t="s">
        <v>60</v>
      </c>
      <c r="G74" t="s">
        <v>61</v>
      </c>
      <c r="H74">
        <v>12</v>
      </c>
      <c r="I74">
        <v>25</v>
      </c>
      <c r="J74">
        <v>11</v>
      </c>
      <c r="K74">
        <v>0.1</v>
      </c>
      <c r="L74">
        <v>270</v>
      </c>
      <c r="M74">
        <v>5.4</v>
      </c>
      <c r="N74">
        <v>138</v>
      </c>
      <c r="O74">
        <v>0.51111111111111107</v>
      </c>
    </row>
    <row r="75" spans="1:15" x14ac:dyDescent="0.45">
      <c r="A75" t="s">
        <v>151</v>
      </c>
      <c r="B75" s="1">
        <v>45475</v>
      </c>
      <c r="C75" t="s">
        <v>73</v>
      </c>
      <c r="D75" t="s">
        <v>28</v>
      </c>
      <c r="E75" t="s">
        <v>59</v>
      </c>
      <c r="F75" t="s">
        <v>67</v>
      </c>
      <c r="G75" t="s">
        <v>74</v>
      </c>
      <c r="H75">
        <v>22</v>
      </c>
      <c r="I75">
        <v>210</v>
      </c>
      <c r="J75">
        <v>120</v>
      </c>
      <c r="K75">
        <v>0.2</v>
      </c>
      <c r="L75">
        <v>3696</v>
      </c>
      <c r="M75">
        <v>73.92</v>
      </c>
      <c r="N75">
        <v>1056</v>
      </c>
      <c r="O75">
        <v>0.2857142857142857</v>
      </c>
    </row>
    <row r="76" spans="1:15" x14ac:dyDescent="0.45">
      <c r="A76" t="s">
        <v>152</v>
      </c>
      <c r="B76" s="1">
        <v>45473</v>
      </c>
      <c r="C76" t="s">
        <v>66</v>
      </c>
      <c r="D76" t="s">
        <v>38</v>
      </c>
      <c r="E76" t="s">
        <v>71</v>
      </c>
      <c r="F76" t="s">
        <v>67</v>
      </c>
      <c r="G76" t="s">
        <v>68</v>
      </c>
      <c r="H76">
        <v>20</v>
      </c>
      <c r="I76">
        <v>160</v>
      </c>
      <c r="J76">
        <v>88</v>
      </c>
      <c r="K76">
        <v>0.15</v>
      </c>
      <c r="L76">
        <v>2720</v>
      </c>
      <c r="M76">
        <v>54.4</v>
      </c>
      <c r="N76">
        <v>960</v>
      </c>
      <c r="O76">
        <v>0.35294117647058826</v>
      </c>
    </row>
    <row r="77" spans="1:15" x14ac:dyDescent="0.45">
      <c r="A77" t="s">
        <v>153</v>
      </c>
      <c r="B77" s="1">
        <v>45413</v>
      </c>
      <c r="C77" t="s">
        <v>58</v>
      </c>
      <c r="D77" t="s">
        <v>33</v>
      </c>
      <c r="E77" t="s">
        <v>59</v>
      </c>
      <c r="F77" t="s">
        <v>60</v>
      </c>
      <c r="G77" t="s">
        <v>61</v>
      </c>
      <c r="H77">
        <v>14</v>
      </c>
      <c r="I77">
        <v>130</v>
      </c>
      <c r="J77">
        <v>62</v>
      </c>
      <c r="K77">
        <v>0.1</v>
      </c>
      <c r="L77">
        <v>1638</v>
      </c>
      <c r="M77">
        <v>32.76</v>
      </c>
      <c r="N77">
        <v>770</v>
      </c>
      <c r="O77">
        <v>0.47008547008547008</v>
      </c>
    </row>
    <row r="78" spans="1:15" x14ac:dyDescent="0.45">
      <c r="A78" t="s">
        <v>154</v>
      </c>
      <c r="B78" s="1">
        <v>45383</v>
      </c>
      <c r="C78" t="s">
        <v>89</v>
      </c>
      <c r="D78" t="s">
        <v>33</v>
      </c>
      <c r="E78" t="s">
        <v>71</v>
      </c>
      <c r="F78" t="s">
        <v>55</v>
      </c>
      <c r="G78" t="s">
        <v>90</v>
      </c>
      <c r="H78">
        <v>22</v>
      </c>
      <c r="I78">
        <v>130</v>
      </c>
      <c r="J78">
        <v>62</v>
      </c>
      <c r="K78">
        <v>0.2</v>
      </c>
      <c r="L78">
        <v>2288</v>
      </c>
      <c r="M78">
        <v>45.76</v>
      </c>
      <c r="N78">
        <v>924</v>
      </c>
      <c r="O78">
        <v>0.40384615384615385</v>
      </c>
    </row>
    <row r="79" spans="1:15" x14ac:dyDescent="0.45">
      <c r="A79" t="s">
        <v>155</v>
      </c>
      <c r="B79" s="1">
        <v>45428</v>
      </c>
      <c r="C79" t="s">
        <v>58</v>
      </c>
      <c r="D79" t="s">
        <v>33</v>
      </c>
      <c r="E79" t="s">
        <v>54</v>
      </c>
      <c r="F79" t="s">
        <v>60</v>
      </c>
      <c r="G79" t="s">
        <v>61</v>
      </c>
      <c r="H79">
        <v>4</v>
      </c>
      <c r="I79">
        <v>130</v>
      </c>
      <c r="J79">
        <v>62</v>
      </c>
      <c r="K79">
        <v>0</v>
      </c>
      <c r="L79">
        <v>520</v>
      </c>
      <c r="M79">
        <v>10.4</v>
      </c>
      <c r="N79">
        <v>272</v>
      </c>
      <c r="O79">
        <v>0.52307692307692311</v>
      </c>
    </row>
    <row r="80" spans="1:15" x14ac:dyDescent="0.45">
      <c r="A80" t="s">
        <v>156</v>
      </c>
      <c r="B80" s="1">
        <v>45311</v>
      </c>
      <c r="C80" t="s">
        <v>77</v>
      </c>
      <c r="D80" t="s">
        <v>12</v>
      </c>
      <c r="E80" t="s">
        <v>59</v>
      </c>
      <c r="F80" t="s">
        <v>60</v>
      </c>
      <c r="G80" t="s">
        <v>78</v>
      </c>
      <c r="H80">
        <v>15</v>
      </c>
      <c r="I80">
        <v>35</v>
      </c>
      <c r="J80">
        <v>14</v>
      </c>
      <c r="K80">
        <v>0.1</v>
      </c>
      <c r="L80">
        <v>472.5</v>
      </c>
      <c r="M80">
        <v>9.4499999999999993</v>
      </c>
      <c r="N80">
        <v>262.5</v>
      </c>
      <c r="O80">
        <v>0.55555555555555558</v>
      </c>
    </row>
    <row r="81" spans="1:15" x14ac:dyDescent="0.45">
      <c r="A81" t="s">
        <v>157</v>
      </c>
      <c r="B81" s="1">
        <v>45448</v>
      </c>
      <c r="C81" t="s">
        <v>73</v>
      </c>
      <c r="D81" t="s">
        <v>12</v>
      </c>
      <c r="E81" t="s">
        <v>59</v>
      </c>
      <c r="F81" t="s">
        <v>67</v>
      </c>
      <c r="G81" t="s">
        <v>74</v>
      </c>
      <c r="H81">
        <v>22</v>
      </c>
      <c r="I81">
        <v>35</v>
      </c>
      <c r="J81">
        <v>14</v>
      </c>
      <c r="K81">
        <v>0.2</v>
      </c>
      <c r="L81">
        <v>616</v>
      </c>
      <c r="M81">
        <v>12.32</v>
      </c>
      <c r="N81">
        <v>308</v>
      </c>
      <c r="O81">
        <v>0.5</v>
      </c>
    </row>
    <row r="82" spans="1:15" x14ac:dyDescent="0.45">
      <c r="A82" t="s">
        <v>158</v>
      </c>
      <c r="B82" s="1">
        <v>45496</v>
      </c>
      <c r="C82" t="s">
        <v>89</v>
      </c>
      <c r="D82" t="s">
        <v>14</v>
      </c>
      <c r="E82" t="s">
        <v>59</v>
      </c>
      <c r="F82" t="s">
        <v>55</v>
      </c>
      <c r="G82" t="s">
        <v>90</v>
      </c>
      <c r="H82">
        <v>25</v>
      </c>
      <c r="I82">
        <v>240</v>
      </c>
      <c r="J82">
        <v>150</v>
      </c>
      <c r="K82">
        <v>0.2</v>
      </c>
      <c r="L82">
        <v>4800</v>
      </c>
      <c r="M82">
        <v>96</v>
      </c>
      <c r="N82">
        <v>1050</v>
      </c>
      <c r="O82">
        <v>0.21875</v>
      </c>
    </row>
    <row r="83" spans="1:15" x14ac:dyDescent="0.45">
      <c r="A83" t="s">
        <v>159</v>
      </c>
      <c r="B83" s="1">
        <v>45471</v>
      </c>
      <c r="C83" t="s">
        <v>66</v>
      </c>
      <c r="D83" t="s">
        <v>19</v>
      </c>
      <c r="E83" t="s">
        <v>54</v>
      </c>
      <c r="F83" t="s">
        <v>67</v>
      </c>
      <c r="G83" t="s">
        <v>68</v>
      </c>
      <c r="H83">
        <v>18</v>
      </c>
      <c r="I83">
        <v>180</v>
      </c>
      <c r="J83">
        <v>105</v>
      </c>
      <c r="K83">
        <v>0.15</v>
      </c>
      <c r="L83">
        <v>2754</v>
      </c>
      <c r="M83">
        <v>55.08</v>
      </c>
      <c r="N83">
        <v>864</v>
      </c>
      <c r="O83">
        <v>0.31372549019607843</v>
      </c>
    </row>
    <row r="84" spans="1:15" x14ac:dyDescent="0.45">
      <c r="A84" t="s">
        <v>160</v>
      </c>
      <c r="B84" s="1">
        <v>45306</v>
      </c>
      <c r="C84" t="s">
        <v>53</v>
      </c>
      <c r="D84" t="s">
        <v>38</v>
      </c>
      <c r="E84" t="s">
        <v>71</v>
      </c>
      <c r="F84" t="s">
        <v>55</v>
      </c>
      <c r="G84" t="s">
        <v>56</v>
      </c>
      <c r="H84">
        <v>6</v>
      </c>
      <c r="I84">
        <v>160</v>
      </c>
      <c r="J84">
        <v>88</v>
      </c>
      <c r="K84">
        <v>0.05</v>
      </c>
      <c r="L84">
        <v>912</v>
      </c>
      <c r="M84">
        <v>18.239999999999998</v>
      </c>
      <c r="N84">
        <v>384</v>
      </c>
      <c r="O84">
        <v>0.42105263157894735</v>
      </c>
    </row>
    <row r="85" spans="1:15" x14ac:dyDescent="0.45">
      <c r="A85" t="s">
        <v>161</v>
      </c>
      <c r="B85" s="1">
        <v>45311</v>
      </c>
      <c r="C85" t="s">
        <v>53</v>
      </c>
      <c r="D85" t="s">
        <v>26</v>
      </c>
      <c r="E85" t="s">
        <v>71</v>
      </c>
      <c r="F85" t="s">
        <v>55</v>
      </c>
      <c r="G85" t="s">
        <v>56</v>
      </c>
      <c r="H85">
        <v>12</v>
      </c>
      <c r="I85">
        <v>1050</v>
      </c>
      <c r="J85">
        <v>760</v>
      </c>
      <c r="K85">
        <v>0.1</v>
      </c>
      <c r="L85">
        <v>11340</v>
      </c>
      <c r="M85">
        <v>453.6</v>
      </c>
      <c r="N85">
        <v>2220</v>
      </c>
      <c r="O85">
        <v>0.19576719576719576</v>
      </c>
    </row>
    <row r="86" spans="1:15" x14ac:dyDescent="0.45">
      <c r="A86" t="s">
        <v>162</v>
      </c>
      <c r="B86" s="1">
        <v>45515</v>
      </c>
      <c r="C86" t="s">
        <v>133</v>
      </c>
      <c r="D86" t="s">
        <v>24</v>
      </c>
      <c r="E86" t="s">
        <v>59</v>
      </c>
      <c r="F86" t="s">
        <v>67</v>
      </c>
      <c r="G86" t="s">
        <v>134</v>
      </c>
      <c r="H86">
        <v>13</v>
      </c>
      <c r="I86">
        <v>1750</v>
      </c>
      <c r="J86">
        <v>1300</v>
      </c>
      <c r="K86">
        <v>0.1</v>
      </c>
      <c r="L86">
        <v>20475</v>
      </c>
      <c r="M86">
        <v>1228.5</v>
      </c>
      <c r="N86">
        <v>3575</v>
      </c>
      <c r="O86">
        <v>0.17460317460317459</v>
      </c>
    </row>
    <row r="87" spans="1:15" x14ac:dyDescent="0.45">
      <c r="A87" t="s">
        <v>163</v>
      </c>
      <c r="B87" s="1">
        <v>45422</v>
      </c>
      <c r="C87" t="s">
        <v>128</v>
      </c>
      <c r="D87" t="s">
        <v>31</v>
      </c>
      <c r="E87" t="s">
        <v>71</v>
      </c>
      <c r="F87" t="s">
        <v>55</v>
      </c>
      <c r="G87" t="s">
        <v>129</v>
      </c>
      <c r="H87">
        <v>1</v>
      </c>
      <c r="I87">
        <v>95</v>
      </c>
      <c r="J87">
        <v>44</v>
      </c>
      <c r="K87">
        <v>0</v>
      </c>
      <c r="L87">
        <v>95</v>
      </c>
      <c r="M87">
        <v>1.9</v>
      </c>
      <c r="N87">
        <v>51</v>
      </c>
      <c r="O87">
        <v>0.5368421052631579</v>
      </c>
    </row>
    <row r="88" spans="1:15" x14ac:dyDescent="0.45">
      <c r="A88" t="s">
        <v>164</v>
      </c>
      <c r="B88" s="1">
        <v>45478</v>
      </c>
      <c r="C88" t="s">
        <v>63</v>
      </c>
      <c r="D88" t="s">
        <v>8</v>
      </c>
      <c r="E88" t="s">
        <v>54</v>
      </c>
      <c r="F88" t="s">
        <v>55</v>
      </c>
      <c r="G88" t="s">
        <v>64</v>
      </c>
      <c r="H88">
        <v>11</v>
      </c>
      <c r="I88">
        <v>79</v>
      </c>
      <c r="J88">
        <v>38</v>
      </c>
      <c r="K88">
        <v>0.1</v>
      </c>
      <c r="L88">
        <v>782.1</v>
      </c>
      <c r="M88">
        <v>15.641999999999999</v>
      </c>
      <c r="N88">
        <v>364.1</v>
      </c>
      <c r="O88">
        <v>0.46554149085794655</v>
      </c>
    </row>
    <row r="89" spans="1:15" x14ac:dyDescent="0.45">
      <c r="A89" t="s">
        <v>165</v>
      </c>
      <c r="B89" s="1">
        <v>45631</v>
      </c>
      <c r="C89" t="s">
        <v>53</v>
      </c>
      <c r="D89" t="s">
        <v>31</v>
      </c>
      <c r="E89" t="s">
        <v>71</v>
      </c>
      <c r="F89" t="s">
        <v>55</v>
      </c>
      <c r="G89" t="s">
        <v>56</v>
      </c>
      <c r="H89">
        <v>17</v>
      </c>
      <c r="I89">
        <v>95</v>
      </c>
      <c r="J89">
        <v>44</v>
      </c>
      <c r="K89">
        <v>0.15</v>
      </c>
      <c r="L89">
        <v>1372.75</v>
      </c>
      <c r="M89">
        <v>27.454999999999998</v>
      </c>
      <c r="N89">
        <v>624.75</v>
      </c>
      <c r="O89">
        <v>0.45510835913312686</v>
      </c>
    </row>
    <row r="90" spans="1:15" x14ac:dyDescent="0.45">
      <c r="A90" t="s">
        <v>166</v>
      </c>
      <c r="B90" s="1">
        <v>45633</v>
      </c>
      <c r="C90" t="s">
        <v>63</v>
      </c>
      <c r="D90" t="s">
        <v>17</v>
      </c>
      <c r="E90" t="s">
        <v>71</v>
      </c>
      <c r="F90" t="s">
        <v>55</v>
      </c>
      <c r="G90" t="s">
        <v>64</v>
      </c>
      <c r="H90">
        <v>23</v>
      </c>
      <c r="I90">
        <v>520</v>
      </c>
      <c r="J90">
        <v>360</v>
      </c>
      <c r="K90">
        <v>0.2</v>
      </c>
      <c r="L90">
        <v>9568</v>
      </c>
      <c r="M90">
        <v>382.72</v>
      </c>
      <c r="N90">
        <v>1288</v>
      </c>
      <c r="O90">
        <v>0.13461538461538461</v>
      </c>
    </row>
    <row r="91" spans="1:15" x14ac:dyDescent="0.45">
      <c r="A91" t="s">
        <v>167</v>
      </c>
      <c r="B91" s="1">
        <v>45575</v>
      </c>
      <c r="C91" t="s">
        <v>58</v>
      </c>
      <c r="D91" t="s">
        <v>12</v>
      </c>
      <c r="E91" t="s">
        <v>71</v>
      </c>
      <c r="F91" t="s">
        <v>60</v>
      </c>
      <c r="G91" t="s">
        <v>61</v>
      </c>
      <c r="H91">
        <v>22</v>
      </c>
      <c r="I91">
        <v>35</v>
      </c>
      <c r="J91">
        <v>14</v>
      </c>
      <c r="K91">
        <v>0.2</v>
      </c>
      <c r="L91">
        <v>616</v>
      </c>
      <c r="M91">
        <v>12.32</v>
      </c>
      <c r="N91">
        <v>308</v>
      </c>
      <c r="O91">
        <v>0.5</v>
      </c>
    </row>
    <row r="92" spans="1:15" x14ac:dyDescent="0.45">
      <c r="A92" t="s">
        <v>168</v>
      </c>
      <c r="B92" s="1">
        <v>45638</v>
      </c>
      <c r="C92" t="s">
        <v>58</v>
      </c>
      <c r="D92" t="s">
        <v>26</v>
      </c>
      <c r="E92" t="s">
        <v>54</v>
      </c>
      <c r="F92" t="s">
        <v>60</v>
      </c>
      <c r="G92" t="s">
        <v>61</v>
      </c>
      <c r="H92">
        <v>10</v>
      </c>
      <c r="I92">
        <v>1050</v>
      </c>
      <c r="J92">
        <v>760</v>
      </c>
      <c r="K92">
        <v>0.05</v>
      </c>
      <c r="L92">
        <v>9975</v>
      </c>
      <c r="M92">
        <v>399</v>
      </c>
      <c r="N92">
        <v>2375</v>
      </c>
      <c r="O92">
        <v>0.23809523809523808</v>
      </c>
    </row>
    <row r="93" spans="1:15" x14ac:dyDescent="0.45">
      <c r="A93" t="s">
        <v>169</v>
      </c>
      <c r="B93" s="1">
        <v>45572</v>
      </c>
      <c r="C93" t="s">
        <v>128</v>
      </c>
      <c r="D93" t="s">
        <v>14</v>
      </c>
      <c r="E93" t="s">
        <v>71</v>
      </c>
      <c r="F93" t="s">
        <v>55</v>
      </c>
      <c r="G93" t="s">
        <v>129</v>
      </c>
      <c r="H93">
        <v>7</v>
      </c>
      <c r="I93">
        <v>240</v>
      </c>
      <c r="J93">
        <v>150</v>
      </c>
      <c r="K93">
        <v>0.05</v>
      </c>
      <c r="L93">
        <v>1596</v>
      </c>
      <c r="M93">
        <v>31.92</v>
      </c>
      <c r="N93">
        <v>546</v>
      </c>
      <c r="O93">
        <v>0.34210526315789475</v>
      </c>
    </row>
    <row r="94" spans="1:15" x14ac:dyDescent="0.45">
      <c r="A94" t="s">
        <v>170</v>
      </c>
      <c r="B94" s="1">
        <v>45588</v>
      </c>
      <c r="C94" t="s">
        <v>133</v>
      </c>
      <c r="D94" t="s">
        <v>28</v>
      </c>
      <c r="E94" t="s">
        <v>71</v>
      </c>
      <c r="F94" t="s">
        <v>67</v>
      </c>
      <c r="G94" t="s">
        <v>134</v>
      </c>
      <c r="H94">
        <v>15</v>
      </c>
      <c r="I94">
        <v>210</v>
      </c>
      <c r="J94">
        <v>120</v>
      </c>
      <c r="K94">
        <v>0.1</v>
      </c>
      <c r="L94">
        <v>2835</v>
      </c>
      <c r="M94">
        <v>56.7</v>
      </c>
      <c r="N94">
        <v>1035</v>
      </c>
      <c r="O94">
        <v>0.36507936507936506</v>
      </c>
    </row>
    <row r="95" spans="1:15" x14ac:dyDescent="0.45">
      <c r="A95" t="s">
        <v>171</v>
      </c>
      <c r="B95" s="1">
        <v>45518</v>
      </c>
      <c r="C95" t="s">
        <v>73</v>
      </c>
      <c r="D95" t="s">
        <v>24</v>
      </c>
      <c r="E95" t="s">
        <v>71</v>
      </c>
      <c r="F95" t="s">
        <v>67</v>
      </c>
      <c r="G95" t="s">
        <v>74</v>
      </c>
      <c r="H95">
        <v>24</v>
      </c>
      <c r="I95">
        <v>1750</v>
      </c>
      <c r="J95">
        <v>1300</v>
      </c>
      <c r="K95">
        <v>0.2</v>
      </c>
      <c r="L95">
        <v>33600</v>
      </c>
      <c r="M95">
        <v>2016</v>
      </c>
      <c r="N95">
        <v>2400</v>
      </c>
      <c r="O95">
        <v>7.1428571428571425E-2</v>
      </c>
    </row>
    <row r="96" spans="1:15" x14ac:dyDescent="0.45">
      <c r="A96" t="s">
        <v>172</v>
      </c>
      <c r="B96" s="1">
        <v>45629</v>
      </c>
      <c r="C96" t="s">
        <v>53</v>
      </c>
      <c r="D96" t="s">
        <v>14</v>
      </c>
      <c r="E96" t="s">
        <v>54</v>
      </c>
      <c r="F96" t="s">
        <v>55</v>
      </c>
      <c r="G96" t="s">
        <v>56</v>
      </c>
      <c r="H96">
        <v>22</v>
      </c>
      <c r="I96">
        <v>240</v>
      </c>
      <c r="J96">
        <v>150</v>
      </c>
      <c r="K96">
        <v>0.2</v>
      </c>
      <c r="L96">
        <v>4224</v>
      </c>
      <c r="M96">
        <v>84.48</v>
      </c>
      <c r="N96">
        <v>924</v>
      </c>
      <c r="O96">
        <v>0.21875</v>
      </c>
    </row>
    <row r="97" spans="1:15" x14ac:dyDescent="0.45">
      <c r="A97" t="s">
        <v>173</v>
      </c>
      <c r="B97" s="1">
        <v>45339</v>
      </c>
      <c r="C97" t="s">
        <v>73</v>
      </c>
      <c r="D97" t="s">
        <v>28</v>
      </c>
      <c r="E97" t="s">
        <v>71</v>
      </c>
      <c r="F97" t="s">
        <v>67</v>
      </c>
      <c r="G97" t="s">
        <v>74</v>
      </c>
      <c r="H97">
        <v>8</v>
      </c>
      <c r="I97">
        <v>210</v>
      </c>
      <c r="J97">
        <v>120</v>
      </c>
      <c r="K97">
        <v>0.05</v>
      </c>
      <c r="L97">
        <v>1596</v>
      </c>
      <c r="M97">
        <v>31.92</v>
      </c>
      <c r="N97">
        <v>636</v>
      </c>
      <c r="O97">
        <v>0.39849624060150374</v>
      </c>
    </row>
    <row r="98" spans="1:15" x14ac:dyDescent="0.45">
      <c r="A98" t="s">
        <v>174</v>
      </c>
      <c r="B98" s="1">
        <v>45367</v>
      </c>
      <c r="C98" t="s">
        <v>128</v>
      </c>
      <c r="D98" t="s">
        <v>5</v>
      </c>
      <c r="E98" t="s">
        <v>59</v>
      </c>
      <c r="F98" t="s">
        <v>55</v>
      </c>
      <c r="G98" t="s">
        <v>129</v>
      </c>
      <c r="H98">
        <v>16</v>
      </c>
      <c r="I98">
        <v>25</v>
      </c>
      <c r="J98">
        <v>11</v>
      </c>
      <c r="K98">
        <v>0.15</v>
      </c>
      <c r="L98">
        <v>340</v>
      </c>
      <c r="M98">
        <v>6.8</v>
      </c>
      <c r="N98">
        <v>164</v>
      </c>
      <c r="O98">
        <v>0.4823529411764706</v>
      </c>
    </row>
    <row r="99" spans="1:15" x14ac:dyDescent="0.45">
      <c r="A99" t="s">
        <v>175</v>
      </c>
      <c r="B99" s="1">
        <v>45525</v>
      </c>
      <c r="C99" t="s">
        <v>63</v>
      </c>
      <c r="D99" t="s">
        <v>38</v>
      </c>
      <c r="E99" t="s">
        <v>54</v>
      </c>
      <c r="F99" t="s">
        <v>55</v>
      </c>
      <c r="G99" t="s">
        <v>64</v>
      </c>
      <c r="H99">
        <v>19</v>
      </c>
      <c r="I99">
        <v>160</v>
      </c>
      <c r="J99">
        <v>88</v>
      </c>
      <c r="K99">
        <v>0.15</v>
      </c>
      <c r="L99">
        <v>2584</v>
      </c>
      <c r="M99">
        <v>51.68</v>
      </c>
      <c r="N99">
        <v>912</v>
      </c>
      <c r="O99">
        <v>0.35294117647058826</v>
      </c>
    </row>
    <row r="100" spans="1:15" x14ac:dyDescent="0.45">
      <c r="A100" t="s">
        <v>176</v>
      </c>
      <c r="B100" s="1">
        <v>45648</v>
      </c>
      <c r="C100" t="s">
        <v>63</v>
      </c>
      <c r="D100" t="s">
        <v>21</v>
      </c>
      <c r="E100" t="s">
        <v>71</v>
      </c>
      <c r="F100" t="s">
        <v>55</v>
      </c>
      <c r="G100" t="s">
        <v>64</v>
      </c>
      <c r="H100">
        <v>8</v>
      </c>
      <c r="I100">
        <v>1150</v>
      </c>
      <c r="J100">
        <v>820</v>
      </c>
      <c r="K100">
        <v>0.05</v>
      </c>
      <c r="L100">
        <v>8740</v>
      </c>
      <c r="M100">
        <v>349.6</v>
      </c>
      <c r="N100">
        <v>2180</v>
      </c>
      <c r="O100">
        <v>0.2494279176201373</v>
      </c>
    </row>
    <row r="101" spans="1:15" x14ac:dyDescent="0.45">
      <c r="A101" t="s">
        <v>177</v>
      </c>
      <c r="B101" s="1">
        <v>45627</v>
      </c>
      <c r="C101" t="s">
        <v>128</v>
      </c>
      <c r="D101" t="s">
        <v>38</v>
      </c>
      <c r="E101" t="s">
        <v>59</v>
      </c>
      <c r="F101" t="s">
        <v>55</v>
      </c>
      <c r="G101" t="s">
        <v>129</v>
      </c>
      <c r="H101">
        <v>25</v>
      </c>
      <c r="I101">
        <v>160</v>
      </c>
      <c r="J101">
        <v>88</v>
      </c>
      <c r="K101">
        <v>0.2</v>
      </c>
      <c r="L101">
        <v>3200</v>
      </c>
      <c r="M101">
        <v>64</v>
      </c>
      <c r="N101">
        <v>1000</v>
      </c>
      <c r="O101">
        <v>0.3125</v>
      </c>
    </row>
    <row r="102" spans="1:15" x14ac:dyDescent="0.45">
      <c r="A102" t="s">
        <v>178</v>
      </c>
      <c r="B102" s="1">
        <v>45404</v>
      </c>
      <c r="C102" t="s">
        <v>58</v>
      </c>
      <c r="D102" t="s">
        <v>33</v>
      </c>
      <c r="E102" t="s">
        <v>54</v>
      </c>
      <c r="F102" t="s">
        <v>60</v>
      </c>
      <c r="G102" t="s">
        <v>61</v>
      </c>
      <c r="H102">
        <v>17</v>
      </c>
      <c r="I102">
        <v>130</v>
      </c>
      <c r="J102">
        <v>62</v>
      </c>
      <c r="K102">
        <v>0.15</v>
      </c>
      <c r="L102">
        <v>1878.5</v>
      </c>
      <c r="M102">
        <v>37.57</v>
      </c>
      <c r="N102">
        <v>824.5</v>
      </c>
      <c r="O102">
        <v>0.43891402714932126</v>
      </c>
    </row>
    <row r="103" spans="1:15" x14ac:dyDescent="0.45">
      <c r="A103" t="s">
        <v>179</v>
      </c>
      <c r="B103" s="1">
        <v>45317</v>
      </c>
      <c r="C103" t="s">
        <v>66</v>
      </c>
      <c r="D103" t="s">
        <v>12</v>
      </c>
      <c r="E103" t="s">
        <v>59</v>
      </c>
      <c r="F103" t="s">
        <v>67</v>
      </c>
      <c r="G103" t="s">
        <v>68</v>
      </c>
      <c r="H103">
        <v>15</v>
      </c>
      <c r="I103">
        <v>35</v>
      </c>
      <c r="J103">
        <v>14</v>
      </c>
      <c r="K103">
        <v>0.1</v>
      </c>
      <c r="L103">
        <v>472.5</v>
      </c>
      <c r="M103">
        <v>9.4499999999999993</v>
      </c>
      <c r="N103">
        <v>262.5</v>
      </c>
      <c r="O103">
        <v>0.55555555555555558</v>
      </c>
    </row>
    <row r="104" spans="1:15" x14ac:dyDescent="0.45">
      <c r="A104" t="s">
        <v>180</v>
      </c>
      <c r="B104" s="1">
        <v>45529</v>
      </c>
      <c r="C104" t="s">
        <v>66</v>
      </c>
      <c r="D104" t="s">
        <v>24</v>
      </c>
      <c r="E104" t="s">
        <v>54</v>
      </c>
      <c r="F104" t="s">
        <v>67</v>
      </c>
      <c r="G104" t="s">
        <v>68</v>
      </c>
      <c r="H104">
        <v>11</v>
      </c>
      <c r="I104">
        <v>1750</v>
      </c>
      <c r="J104">
        <v>1300</v>
      </c>
      <c r="K104">
        <v>0.1</v>
      </c>
      <c r="L104">
        <v>17325</v>
      </c>
      <c r="M104">
        <v>1039.5</v>
      </c>
      <c r="N104">
        <v>3025</v>
      </c>
      <c r="O104">
        <v>0.17460317460317459</v>
      </c>
    </row>
    <row r="105" spans="1:15" x14ac:dyDescent="0.45">
      <c r="A105" t="s">
        <v>181</v>
      </c>
      <c r="B105" s="1">
        <v>45605</v>
      </c>
      <c r="C105" t="s">
        <v>66</v>
      </c>
      <c r="D105" t="s">
        <v>19</v>
      </c>
      <c r="E105" t="s">
        <v>54</v>
      </c>
      <c r="F105" t="s">
        <v>67</v>
      </c>
      <c r="G105" t="s">
        <v>68</v>
      </c>
      <c r="H105">
        <v>15</v>
      </c>
      <c r="I105">
        <v>180</v>
      </c>
      <c r="J105">
        <v>105</v>
      </c>
      <c r="K105">
        <v>0.1</v>
      </c>
      <c r="L105">
        <v>2430</v>
      </c>
      <c r="M105">
        <v>48.6</v>
      </c>
      <c r="N105">
        <v>855</v>
      </c>
      <c r="O105">
        <v>0.35185185185185186</v>
      </c>
    </row>
    <row r="106" spans="1:15" x14ac:dyDescent="0.45">
      <c r="A106" t="s">
        <v>182</v>
      </c>
      <c r="B106" s="1">
        <v>45535</v>
      </c>
      <c r="C106" t="s">
        <v>77</v>
      </c>
      <c r="D106" t="s">
        <v>14</v>
      </c>
      <c r="E106" t="s">
        <v>59</v>
      </c>
      <c r="F106" t="s">
        <v>60</v>
      </c>
      <c r="G106" t="s">
        <v>78</v>
      </c>
      <c r="H106">
        <v>21</v>
      </c>
      <c r="I106">
        <v>240</v>
      </c>
      <c r="J106">
        <v>150</v>
      </c>
      <c r="K106">
        <v>0.2</v>
      </c>
      <c r="L106">
        <v>4032</v>
      </c>
      <c r="M106">
        <v>80.64</v>
      </c>
      <c r="N106">
        <v>882</v>
      </c>
      <c r="O106">
        <v>0.21875</v>
      </c>
    </row>
    <row r="107" spans="1:15" x14ac:dyDescent="0.45">
      <c r="A107" t="s">
        <v>183</v>
      </c>
      <c r="B107" s="1">
        <v>45558</v>
      </c>
      <c r="C107" t="s">
        <v>77</v>
      </c>
      <c r="D107" t="s">
        <v>28</v>
      </c>
      <c r="E107" t="s">
        <v>59</v>
      </c>
      <c r="F107" t="s">
        <v>60</v>
      </c>
      <c r="G107" t="s">
        <v>78</v>
      </c>
      <c r="H107">
        <v>9</v>
      </c>
      <c r="I107">
        <v>210</v>
      </c>
      <c r="J107">
        <v>120</v>
      </c>
      <c r="K107">
        <v>0.05</v>
      </c>
      <c r="L107">
        <v>1795.5</v>
      </c>
      <c r="M107">
        <v>35.909999999999997</v>
      </c>
      <c r="N107">
        <v>715.5</v>
      </c>
      <c r="O107">
        <v>0.39849624060150374</v>
      </c>
    </row>
    <row r="108" spans="1:15" x14ac:dyDescent="0.45">
      <c r="A108" t="s">
        <v>184</v>
      </c>
      <c r="B108" s="1">
        <v>45331</v>
      </c>
      <c r="C108" t="s">
        <v>80</v>
      </c>
      <c r="D108" t="s">
        <v>12</v>
      </c>
      <c r="E108" t="s">
        <v>71</v>
      </c>
      <c r="F108" t="s">
        <v>67</v>
      </c>
      <c r="G108" t="s">
        <v>81</v>
      </c>
      <c r="H108">
        <v>11</v>
      </c>
      <c r="I108">
        <v>35</v>
      </c>
      <c r="J108">
        <v>14</v>
      </c>
      <c r="K108">
        <v>0.1</v>
      </c>
      <c r="L108">
        <v>346.5</v>
      </c>
      <c r="M108">
        <v>6.93</v>
      </c>
      <c r="N108">
        <v>192.5</v>
      </c>
      <c r="O108">
        <v>0.55555555555555558</v>
      </c>
    </row>
    <row r="109" spans="1:15" x14ac:dyDescent="0.45">
      <c r="A109" t="s">
        <v>185</v>
      </c>
      <c r="B109" s="1">
        <v>45568</v>
      </c>
      <c r="C109" t="s">
        <v>53</v>
      </c>
      <c r="D109" t="s">
        <v>10</v>
      </c>
      <c r="E109" t="s">
        <v>59</v>
      </c>
      <c r="F109" t="s">
        <v>55</v>
      </c>
      <c r="G109" t="s">
        <v>56</v>
      </c>
      <c r="H109">
        <v>8</v>
      </c>
      <c r="I109">
        <v>45</v>
      </c>
      <c r="J109">
        <v>19</v>
      </c>
      <c r="K109">
        <v>0.05</v>
      </c>
      <c r="L109">
        <v>342</v>
      </c>
      <c r="M109">
        <v>6.84</v>
      </c>
      <c r="N109">
        <v>190</v>
      </c>
      <c r="O109">
        <v>0.55555555555555558</v>
      </c>
    </row>
    <row r="110" spans="1:15" x14ac:dyDescent="0.45">
      <c r="A110" t="s">
        <v>186</v>
      </c>
      <c r="B110" s="1">
        <v>45647</v>
      </c>
      <c r="C110" t="s">
        <v>58</v>
      </c>
      <c r="D110" t="s">
        <v>31</v>
      </c>
      <c r="E110" t="s">
        <v>59</v>
      </c>
      <c r="F110" t="s">
        <v>60</v>
      </c>
      <c r="G110" t="s">
        <v>61</v>
      </c>
      <c r="H110">
        <v>3</v>
      </c>
      <c r="I110">
        <v>95</v>
      </c>
      <c r="J110">
        <v>44</v>
      </c>
      <c r="K110">
        <v>0</v>
      </c>
      <c r="L110">
        <v>285</v>
      </c>
      <c r="M110">
        <v>5.7</v>
      </c>
      <c r="N110">
        <v>153</v>
      </c>
      <c r="O110">
        <v>0.5368421052631579</v>
      </c>
    </row>
    <row r="111" spans="1:15" x14ac:dyDescent="0.45">
      <c r="A111" t="s">
        <v>187</v>
      </c>
      <c r="B111" s="1">
        <v>45500</v>
      </c>
      <c r="C111" t="s">
        <v>89</v>
      </c>
      <c r="D111" t="s">
        <v>24</v>
      </c>
      <c r="E111" t="s">
        <v>71</v>
      </c>
      <c r="F111" t="s">
        <v>55</v>
      </c>
      <c r="G111" t="s">
        <v>90</v>
      </c>
      <c r="H111">
        <v>14</v>
      </c>
      <c r="I111">
        <v>1750</v>
      </c>
      <c r="J111">
        <v>1300</v>
      </c>
      <c r="K111">
        <v>0.1</v>
      </c>
      <c r="L111">
        <v>22050</v>
      </c>
      <c r="M111">
        <v>1323</v>
      </c>
      <c r="N111">
        <v>3850</v>
      </c>
      <c r="O111">
        <v>0.17460317460317459</v>
      </c>
    </row>
    <row r="112" spans="1:15" x14ac:dyDescent="0.45">
      <c r="A112" t="s">
        <v>188</v>
      </c>
      <c r="B112" s="1">
        <v>45397</v>
      </c>
      <c r="C112" t="s">
        <v>63</v>
      </c>
      <c r="D112" t="s">
        <v>19</v>
      </c>
      <c r="E112" t="s">
        <v>54</v>
      </c>
      <c r="F112" t="s">
        <v>55</v>
      </c>
      <c r="G112" t="s">
        <v>64</v>
      </c>
      <c r="H112">
        <v>23</v>
      </c>
      <c r="I112">
        <v>180</v>
      </c>
      <c r="J112">
        <v>105</v>
      </c>
      <c r="K112">
        <v>0.2</v>
      </c>
      <c r="L112">
        <v>3312</v>
      </c>
      <c r="M112">
        <v>66.239999999999995</v>
      </c>
      <c r="N112">
        <v>897</v>
      </c>
      <c r="O112">
        <v>0.27083333333333331</v>
      </c>
    </row>
    <row r="113" spans="1:15" x14ac:dyDescent="0.45">
      <c r="A113" t="s">
        <v>189</v>
      </c>
      <c r="B113" s="1">
        <v>45586</v>
      </c>
      <c r="C113" t="s">
        <v>63</v>
      </c>
      <c r="D113" t="s">
        <v>21</v>
      </c>
      <c r="E113" t="s">
        <v>59</v>
      </c>
      <c r="F113" t="s">
        <v>55</v>
      </c>
      <c r="G113" t="s">
        <v>64</v>
      </c>
      <c r="H113">
        <v>12</v>
      </c>
      <c r="I113">
        <v>1150</v>
      </c>
      <c r="J113">
        <v>820</v>
      </c>
      <c r="K113">
        <v>0.1</v>
      </c>
      <c r="L113">
        <v>12420</v>
      </c>
      <c r="M113">
        <v>496.8</v>
      </c>
      <c r="N113">
        <v>2580</v>
      </c>
      <c r="O113">
        <v>0.20772946859903385</v>
      </c>
    </row>
    <row r="114" spans="1:15" x14ac:dyDescent="0.45">
      <c r="A114" t="s">
        <v>190</v>
      </c>
      <c r="B114" s="1">
        <v>45491</v>
      </c>
      <c r="C114" t="s">
        <v>63</v>
      </c>
      <c r="D114" t="s">
        <v>24</v>
      </c>
      <c r="E114" t="s">
        <v>54</v>
      </c>
      <c r="F114" t="s">
        <v>55</v>
      </c>
      <c r="G114" t="s">
        <v>64</v>
      </c>
      <c r="H114">
        <v>24</v>
      </c>
      <c r="I114">
        <v>1750</v>
      </c>
      <c r="J114">
        <v>1300</v>
      </c>
      <c r="K114">
        <v>0.2</v>
      </c>
      <c r="L114">
        <v>33600</v>
      </c>
      <c r="M114">
        <v>2016</v>
      </c>
      <c r="N114">
        <v>2400</v>
      </c>
      <c r="O114">
        <v>7.1428571428571425E-2</v>
      </c>
    </row>
    <row r="115" spans="1:15" x14ac:dyDescent="0.45">
      <c r="A115" t="s">
        <v>191</v>
      </c>
      <c r="B115" s="1">
        <v>45541</v>
      </c>
      <c r="C115" t="s">
        <v>73</v>
      </c>
      <c r="D115" t="s">
        <v>14</v>
      </c>
      <c r="E115" t="s">
        <v>71</v>
      </c>
      <c r="F115" t="s">
        <v>67</v>
      </c>
      <c r="G115" t="s">
        <v>74</v>
      </c>
      <c r="H115">
        <v>16</v>
      </c>
      <c r="I115">
        <v>240</v>
      </c>
      <c r="J115">
        <v>150</v>
      </c>
      <c r="K115">
        <v>0.15</v>
      </c>
      <c r="L115">
        <v>3264</v>
      </c>
      <c r="M115">
        <v>65.28</v>
      </c>
      <c r="N115">
        <v>864</v>
      </c>
      <c r="O115">
        <v>0.26470588235294118</v>
      </c>
    </row>
    <row r="116" spans="1:15" x14ac:dyDescent="0.45">
      <c r="A116" t="s">
        <v>192</v>
      </c>
      <c r="B116" s="1">
        <v>45491</v>
      </c>
      <c r="C116" t="s">
        <v>89</v>
      </c>
      <c r="D116" t="s">
        <v>28</v>
      </c>
      <c r="E116" t="s">
        <v>54</v>
      </c>
      <c r="F116" t="s">
        <v>55</v>
      </c>
      <c r="G116" t="s">
        <v>90</v>
      </c>
      <c r="H116">
        <v>13</v>
      </c>
      <c r="I116">
        <v>210</v>
      </c>
      <c r="J116">
        <v>120</v>
      </c>
      <c r="K116">
        <v>0.1</v>
      </c>
      <c r="L116">
        <v>2457</v>
      </c>
      <c r="M116">
        <v>49.14</v>
      </c>
      <c r="N116">
        <v>897</v>
      </c>
      <c r="O116">
        <v>0.36507936507936506</v>
      </c>
    </row>
    <row r="117" spans="1:15" x14ac:dyDescent="0.45">
      <c r="A117" t="s">
        <v>193</v>
      </c>
      <c r="B117" s="1">
        <v>45531</v>
      </c>
      <c r="C117" t="s">
        <v>58</v>
      </c>
      <c r="D117" t="s">
        <v>26</v>
      </c>
      <c r="E117" t="s">
        <v>54</v>
      </c>
      <c r="F117" t="s">
        <v>60</v>
      </c>
      <c r="G117" t="s">
        <v>61</v>
      </c>
      <c r="H117">
        <v>1</v>
      </c>
      <c r="I117">
        <v>1050</v>
      </c>
      <c r="J117">
        <v>760</v>
      </c>
      <c r="K117">
        <v>0</v>
      </c>
      <c r="L117">
        <v>1050</v>
      </c>
      <c r="M117">
        <v>21</v>
      </c>
      <c r="N117">
        <v>290</v>
      </c>
      <c r="O117">
        <v>0.27619047619047621</v>
      </c>
    </row>
    <row r="118" spans="1:15" x14ac:dyDescent="0.45">
      <c r="A118" t="s">
        <v>194</v>
      </c>
      <c r="B118" s="1">
        <v>45595</v>
      </c>
      <c r="C118" t="s">
        <v>133</v>
      </c>
      <c r="D118" t="s">
        <v>28</v>
      </c>
      <c r="E118" t="s">
        <v>59</v>
      </c>
      <c r="F118" t="s">
        <v>67</v>
      </c>
      <c r="G118" t="s">
        <v>134</v>
      </c>
      <c r="H118">
        <v>3</v>
      </c>
      <c r="I118">
        <v>210</v>
      </c>
      <c r="J118">
        <v>120</v>
      </c>
      <c r="K118">
        <v>0</v>
      </c>
      <c r="L118">
        <v>630</v>
      </c>
      <c r="M118">
        <v>12.6</v>
      </c>
      <c r="N118">
        <v>270</v>
      </c>
      <c r="O118">
        <v>0.42857142857142855</v>
      </c>
    </row>
    <row r="119" spans="1:15" x14ac:dyDescent="0.45">
      <c r="A119" t="s">
        <v>195</v>
      </c>
      <c r="B119" s="1">
        <v>45361</v>
      </c>
      <c r="C119" t="s">
        <v>77</v>
      </c>
      <c r="D119" t="s">
        <v>10</v>
      </c>
      <c r="E119" t="s">
        <v>59</v>
      </c>
      <c r="F119" t="s">
        <v>60</v>
      </c>
      <c r="G119" t="s">
        <v>78</v>
      </c>
      <c r="H119">
        <v>9</v>
      </c>
      <c r="I119">
        <v>45</v>
      </c>
      <c r="J119">
        <v>19</v>
      </c>
      <c r="K119">
        <v>0.05</v>
      </c>
      <c r="L119">
        <v>384.75</v>
      </c>
      <c r="M119">
        <v>7.6950000000000003</v>
      </c>
      <c r="N119">
        <v>213.75</v>
      </c>
      <c r="O119">
        <v>0.55555555555555558</v>
      </c>
    </row>
    <row r="120" spans="1:15" x14ac:dyDescent="0.45">
      <c r="A120" t="s">
        <v>196</v>
      </c>
      <c r="B120" s="1">
        <v>45459</v>
      </c>
      <c r="C120" t="s">
        <v>73</v>
      </c>
      <c r="D120" t="s">
        <v>21</v>
      </c>
      <c r="E120" t="s">
        <v>71</v>
      </c>
      <c r="F120" t="s">
        <v>67</v>
      </c>
      <c r="G120" t="s">
        <v>74</v>
      </c>
      <c r="H120">
        <v>11</v>
      </c>
      <c r="I120">
        <v>1150</v>
      </c>
      <c r="J120">
        <v>820</v>
      </c>
      <c r="K120">
        <v>0.1</v>
      </c>
      <c r="L120">
        <v>11385</v>
      </c>
      <c r="M120">
        <v>455.4</v>
      </c>
      <c r="N120">
        <v>2365</v>
      </c>
      <c r="O120">
        <v>0.20772946859903385</v>
      </c>
    </row>
    <row r="121" spans="1:15" x14ac:dyDescent="0.45">
      <c r="A121" t="s">
        <v>197</v>
      </c>
      <c r="B121" s="1">
        <v>45434</v>
      </c>
      <c r="C121" t="s">
        <v>63</v>
      </c>
      <c r="D121" t="s">
        <v>14</v>
      </c>
      <c r="E121" t="s">
        <v>59</v>
      </c>
      <c r="F121" t="s">
        <v>55</v>
      </c>
      <c r="G121" t="s">
        <v>64</v>
      </c>
      <c r="H121">
        <v>16</v>
      </c>
      <c r="I121">
        <v>240</v>
      </c>
      <c r="J121">
        <v>150</v>
      </c>
      <c r="K121">
        <v>0.15</v>
      </c>
      <c r="L121">
        <v>3264</v>
      </c>
      <c r="M121">
        <v>65.28</v>
      </c>
      <c r="N121">
        <v>864</v>
      </c>
      <c r="O121">
        <v>0.26470588235294118</v>
      </c>
    </row>
    <row r="122" spans="1:15" x14ac:dyDescent="0.45">
      <c r="A122" t="s">
        <v>198</v>
      </c>
      <c r="B122" s="1">
        <v>45568</v>
      </c>
      <c r="C122" t="s">
        <v>128</v>
      </c>
      <c r="D122" t="s">
        <v>17</v>
      </c>
      <c r="E122" t="s">
        <v>59</v>
      </c>
      <c r="F122" t="s">
        <v>55</v>
      </c>
      <c r="G122" t="s">
        <v>129</v>
      </c>
      <c r="H122">
        <v>21</v>
      </c>
      <c r="I122">
        <v>520</v>
      </c>
      <c r="J122">
        <v>360</v>
      </c>
      <c r="K122">
        <v>0.2</v>
      </c>
      <c r="L122">
        <v>8736</v>
      </c>
      <c r="M122">
        <v>349.44</v>
      </c>
      <c r="N122">
        <v>1176</v>
      </c>
      <c r="O122">
        <v>0.13461538461538461</v>
      </c>
    </row>
    <row r="123" spans="1:15" x14ac:dyDescent="0.45">
      <c r="A123" t="s">
        <v>199</v>
      </c>
      <c r="B123" s="1">
        <v>45625</v>
      </c>
      <c r="C123" t="s">
        <v>128</v>
      </c>
      <c r="D123" t="s">
        <v>33</v>
      </c>
      <c r="E123" t="s">
        <v>59</v>
      </c>
      <c r="F123" t="s">
        <v>55</v>
      </c>
      <c r="G123" t="s">
        <v>129</v>
      </c>
      <c r="H123">
        <v>8</v>
      </c>
      <c r="I123">
        <v>130</v>
      </c>
      <c r="J123">
        <v>62</v>
      </c>
      <c r="K123">
        <v>0.05</v>
      </c>
      <c r="L123">
        <v>988</v>
      </c>
      <c r="M123">
        <v>19.760000000000002</v>
      </c>
      <c r="N123">
        <v>492</v>
      </c>
      <c r="O123">
        <v>0.49797570850202422</v>
      </c>
    </row>
    <row r="124" spans="1:15" x14ac:dyDescent="0.45">
      <c r="A124" t="s">
        <v>200</v>
      </c>
      <c r="B124" s="1">
        <v>45302</v>
      </c>
      <c r="C124" t="s">
        <v>133</v>
      </c>
      <c r="D124" t="s">
        <v>10</v>
      </c>
      <c r="E124" t="s">
        <v>59</v>
      </c>
      <c r="F124" t="s">
        <v>67</v>
      </c>
      <c r="G124" t="s">
        <v>134</v>
      </c>
      <c r="H124">
        <v>5</v>
      </c>
      <c r="I124">
        <v>45</v>
      </c>
      <c r="J124">
        <v>19</v>
      </c>
      <c r="K124">
        <v>0</v>
      </c>
      <c r="L124">
        <v>225</v>
      </c>
      <c r="M124">
        <v>4.5</v>
      </c>
      <c r="N124">
        <v>130</v>
      </c>
      <c r="O124">
        <v>0.57777777777777772</v>
      </c>
    </row>
    <row r="125" spans="1:15" x14ac:dyDescent="0.45">
      <c r="A125" t="s">
        <v>201</v>
      </c>
      <c r="B125" s="1">
        <v>45634</v>
      </c>
      <c r="C125" t="s">
        <v>53</v>
      </c>
      <c r="D125" t="s">
        <v>26</v>
      </c>
      <c r="E125" t="s">
        <v>59</v>
      </c>
      <c r="F125" t="s">
        <v>55</v>
      </c>
      <c r="G125" t="s">
        <v>56</v>
      </c>
      <c r="H125">
        <v>15</v>
      </c>
      <c r="I125">
        <v>1050</v>
      </c>
      <c r="J125">
        <v>760</v>
      </c>
      <c r="K125">
        <v>0.1</v>
      </c>
      <c r="L125">
        <v>14175</v>
      </c>
      <c r="M125">
        <v>567</v>
      </c>
      <c r="N125">
        <v>2775</v>
      </c>
      <c r="O125">
        <v>0.19576719576719576</v>
      </c>
    </row>
    <row r="126" spans="1:15" x14ac:dyDescent="0.45">
      <c r="A126" t="s">
        <v>202</v>
      </c>
      <c r="B126" s="1">
        <v>45480</v>
      </c>
      <c r="C126" t="s">
        <v>58</v>
      </c>
      <c r="D126" t="s">
        <v>26</v>
      </c>
      <c r="E126" t="s">
        <v>54</v>
      </c>
      <c r="F126" t="s">
        <v>60</v>
      </c>
      <c r="G126" t="s">
        <v>61</v>
      </c>
      <c r="H126">
        <v>24</v>
      </c>
      <c r="I126">
        <v>1050</v>
      </c>
      <c r="J126">
        <v>760</v>
      </c>
      <c r="K126">
        <v>0.2</v>
      </c>
      <c r="L126">
        <v>20160</v>
      </c>
      <c r="M126">
        <v>1209.5999999999999</v>
      </c>
      <c r="N126">
        <v>1920</v>
      </c>
      <c r="O126">
        <v>9.5238095238095233E-2</v>
      </c>
    </row>
    <row r="127" spans="1:15" x14ac:dyDescent="0.45">
      <c r="A127" t="s">
        <v>203</v>
      </c>
      <c r="B127" s="1">
        <v>45375</v>
      </c>
      <c r="C127" t="s">
        <v>80</v>
      </c>
      <c r="D127" t="s">
        <v>8</v>
      </c>
      <c r="E127" t="s">
        <v>54</v>
      </c>
      <c r="F127" t="s">
        <v>67</v>
      </c>
      <c r="G127" t="s">
        <v>81</v>
      </c>
      <c r="H127">
        <v>1</v>
      </c>
      <c r="I127">
        <v>79</v>
      </c>
      <c r="J127">
        <v>38</v>
      </c>
      <c r="K127">
        <v>0</v>
      </c>
      <c r="L127">
        <v>79</v>
      </c>
      <c r="M127">
        <v>1.58</v>
      </c>
      <c r="N127">
        <v>41</v>
      </c>
      <c r="O127">
        <v>0.51898734177215189</v>
      </c>
    </row>
    <row r="128" spans="1:15" x14ac:dyDescent="0.45">
      <c r="A128" t="s">
        <v>204</v>
      </c>
      <c r="B128" s="1">
        <v>45586</v>
      </c>
      <c r="C128" t="s">
        <v>63</v>
      </c>
      <c r="D128" t="s">
        <v>19</v>
      </c>
      <c r="E128" t="s">
        <v>54</v>
      </c>
      <c r="F128" t="s">
        <v>55</v>
      </c>
      <c r="G128" t="s">
        <v>64</v>
      </c>
      <c r="H128">
        <v>7</v>
      </c>
      <c r="I128">
        <v>180</v>
      </c>
      <c r="J128">
        <v>105</v>
      </c>
      <c r="K128">
        <v>0.05</v>
      </c>
      <c r="L128">
        <v>1197</v>
      </c>
      <c r="M128">
        <v>23.94</v>
      </c>
      <c r="N128">
        <v>462</v>
      </c>
      <c r="O128">
        <v>0.38596491228070173</v>
      </c>
    </row>
    <row r="129" spans="1:15" x14ac:dyDescent="0.45">
      <c r="A129" t="s">
        <v>205</v>
      </c>
      <c r="B129" s="1">
        <v>45595</v>
      </c>
      <c r="C129" t="s">
        <v>73</v>
      </c>
      <c r="D129" t="s">
        <v>8</v>
      </c>
      <c r="E129" t="s">
        <v>54</v>
      </c>
      <c r="F129" t="s">
        <v>67</v>
      </c>
      <c r="G129" t="s">
        <v>74</v>
      </c>
      <c r="H129">
        <v>25</v>
      </c>
      <c r="I129">
        <v>79</v>
      </c>
      <c r="J129">
        <v>38</v>
      </c>
      <c r="K129">
        <v>0.2</v>
      </c>
      <c r="L129">
        <v>1580</v>
      </c>
      <c r="M129">
        <v>31.6</v>
      </c>
      <c r="N129">
        <v>630</v>
      </c>
      <c r="O129">
        <v>0.39873417721518994</v>
      </c>
    </row>
    <row r="130" spans="1:15" x14ac:dyDescent="0.45">
      <c r="A130" t="s">
        <v>206</v>
      </c>
      <c r="B130" s="1">
        <v>45642</v>
      </c>
      <c r="C130" t="s">
        <v>133</v>
      </c>
      <c r="D130" t="s">
        <v>33</v>
      </c>
      <c r="E130" t="s">
        <v>59</v>
      </c>
      <c r="F130" t="s">
        <v>67</v>
      </c>
      <c r="G130" t="s">
        <v>134</v>
      </c>
      <c r="H130">
        <v>19</v>
      </c>
      <c r="I130">
        <v>130</v>
      </c>
      <c r="J130">
        <v>62</v>
      </c>
      <c r="K130">
        <v>0.15</v>
      </c>
      <c r="L130">
        <v>2099.5</v>
      </c>
      <c r="M130">
        <v>41.99</v>
      </c>
      <c r="N130">
        <v>921.5</v>
      </c>
      <c r="O130">
        <v>0.43891402714932126</v>
      </c>
    </row>
    <row r="131" spans="1:15" x14ac:dyDescent="0.45">
      <c r="A131" t="s">
        <v>207</v>
      </c>
      <c r="B131" s="1">
        <v>45469</v>
      </c>
      <c r="C131" t="s">
        <v>66</v>
      </c>
      <c r="D131" t="s">
        <v>19</v>
      </c>
      <c r="E131" t="s">
        <v>54</v>
      </c>
      <c r="F131" t="s">
        <v>67</v>
      </c>
      <c r="G131" t="s">
        <v>68</v>
      </c>
      <c r="H131">
        <v>12</v>
      </c>
      <c r="I131">
        <v>180</v>
      </c>
      <c r="J131">
        <v>105</v>
      </c>
      <c r="K131">
        <v>0.1</v>
      </c>
      <c r="L131">
        <v>1944</v>
      </c>
      <c r="M131">
        <v>38.880000000000003</v>
      </c>
      <c r="N131">
        <v>684</v>
      </c>
      <c r="O131">
        <v>0.35185185185185186</v>
      </c>
    </row>
    <row r="132" spans="1:15" x14ac:dyDescent="0.45">
      <c r="A132" t="s">
        <v>208</v>
      </c>
      <c r="B132" s="1">
        <v>45551</v>
      </c>
      <c r="C132" t="s">
        <v>89</v>
      </c>
      <c r="D132" t="s">
        <v>5</v>
      </c>
      <c r="E132" t="s">
        <v>71</v>
      </c>
      <c r="F132" t="s">
        <v>55</v>
      </c>
      <c r="G132" t="s">
        <v>90</v>
      </c>
      <c r="H132">
        <v>16</v>
      </c>
      <c r="I132">
        <v>25</v>
      </c>
      <c r="J132">
        <v>11</v>
      </c>
      <c r="K132">
        <v>0.15</v>
      </c>
      <c r="L132">
        <v>340</v>
      </c>
      <c r="M132">
        <v>6.8</v>
      </c>
      <c r="N132">
        <v>164</v>
      </c>
      <c r="O132">
        <v>0.4823529411764706</v>
      </c>
    </row>
    <row r="133" spans="1:15" x14ac:dyDescent="0.45">
      <c r="A133" t="s">
        <v>209</v>
      </c>
      <c r="B133" s="1">
        <v>45513</v>
      </c>
      <c r="C133" t="s">
        <v>89</v>
      </c>
      <c r="D133" t="s">
        <v>28</v>
      </c>
      <c r="E133" t="s">
        <v>71</v>
      </c>
      <c r="F133" t="s">
        <v>55</v>
      </c>
      <c r="G133" t="s">
        <v>90</v>
      </c>
      <c r="H133">
        <v>23</v>
      </c>
      <c r="I133">
        <v>210</v>
      </c>
      <c r="J133">
        <v>120</v>
      </c>
      <c r="K133">
        <v>0.2</v>
      </c>
      <c r="L133">
        <v>3864</v>
      </c>
      <c r="M133">
        <v>77.28</v>
      </c>
      <c r="N133">
        <v>1104</v>
      </c>
      <c r="O133">
        <v>0.2857142857142857</v>
      </c>
    </row>
    <row r="134" spans="1:15" x14ac:dyDescent="0.45">
      <c r="A134" t="s">
        <v>210</v>
      </c>
      <c r="B134" s="1">
        <v>45514</v>
      </c>
      <c r="C134" t="s">
        <v>58</v>
      </c>
      <c r="D134" t="s">
        <v>31</v>
      </c>
      <c r="E134" t="s">
        <v>54</v>
      </c>
      <c r="F134" t="s">
        <v>60</v>
      </c>
      <c r="G134" t="s">
        <v>61</v>
      </c>
      <c r="H134">
        <v>21</v>
      </c>
      <c r="I134">
        <v>95</v>
      </c>
      <c r="J134">
        <v>44</v>
      </c>
      <c r="K134">
        <v>0.2</v>
      </c>
      <c r="L134">
        <v>1596</v>
      </c>
      <c r="M134">
        <v>31.92</v>
      </c>
      <c r="N134">
        <v>672</v>
      </c>
      <c r="O134">
        <v>0.42105263157894735</v>
      </c>
    </row>
    <row r="135" spans="1:15" x14ac:dyDescent="0.45">
      <c r="A135" t="s">
        <v>211</v>
      </c>
      <c r="B135" s="1">
        <v>45607</v>
      </c>
      <c r="C135" t="s">
        <v>66</v>
      </c>
      <c r="D135" t="s">
        <v>33</v>
      </c>
      <c r="E135" t="s">
        <v>71</v>
      </c>
      <c r="F135" t="s">
        <v>67</v>
      </c>
      <c r="G135" t="s">
        <v>68</v>
      </c>
      <c r="H135">
        <v>15</v>
      </c>
      <c r="I135">
        <v>130</v>
      </c>
      <c r="J135">
        <v>62</v>
      </c>
      <c r="K135">
        <v>0.1</v>
      </c>
      <c r="L135">
        <v>1755</v>
      </c>
      <c r="M135">
        <v>35.1</v>
      </c>
      <c r="N135">
        <v>825</v>
      </c>
      <c r="O135">
        <v>0.47008547008547008</v>
      </c>
    </row>
    <row r="136" spans="1:15" x14ac:dyDescent="0.45">
      <c r="A136" t="s">
        <v>212</v>
      </c>
      <c r="B136" s="1">
        <v>45595</v>
      </c>
      <c r="C136" t="s">
        <v>80</v>
      </c>
      <c r="D136" t="s">
        <v>17</v>
      </c>
      <c r="E136" t="s">
        <v>59</v>
      </c>
      <c r="F136" t="s">
        <v>67</v>
      </c>
      <c r="G136" t="s">
        <v>81</v>
      </c>
      <c r="H136">
        <v>3</v>
      </c>
      <c r="I136">
        <v>520</v>
      </c>
      <c r="J136">
        <v>360</v>
      </c>
      <c r="K136">
        <v>0</v>
      </c>
      <c r="L136">
        <v>1560</v>
      </c>
      <c r="M136">
        <v>31.2</v>
      </c>
      <c r="N136">
        <v>480</v>
      </c>
      <c r="O136">
        <v>0.30769230769230771</v>
      </c>
    </row>
    <row r="137" spans="1:15" x14ac:dyDescent="0.45">
      <c r="A137" t="s">
        <v>213</v>
      </c>
      <c r="B137" s="1">
        <v>45522</v>
      </c>
      <c r="C137" t="s">
        <v>73</v>
      </c>
      <c r="D137" t="s">
        <v>33</v>
      </c>
      <c r="E137" t="s">
        <v>71</v>
      </c>
      <c r="F137" t="s">
        <v>67</v>
      </c>
      <c r="G137" t="s">
        <v>74</v>
      </c>
      <c r="H137">
        <v>19</v>
      </c>
      <c r="I137">
        <v>130</v>
      </c>
      <c r="J137">
        <v>62</v>
      </c>
      <c r="K137">
        <v>0.15</v>
      </c>
      <c r="L137">
        <v>2099.5</v>
      </c>
      <c r="M137">
        <v>41.99</v>
      </c>
      <c r="N137">
        <v>921.5</v>
      </c>
      <c r="O137">
        <v>0.43891402714932126</v>
      </c>
    </row>
    <row r="138" spans="1:15" x14ac:dyDescent="0.45">
      <c r="A138" t="s">
        <v>214</v>
      </c>
      <c r="B138" s="1">
        <v>45464</v>
      </c>
      <c r="C138" t="s">
        <v>128</v>
      </c>
      <c r="D138" t="s">
        <v>21</v>
      </c>
      <c r="E138" t="s">
        <v>71</v>
      </c>
      <c r="F138" t="s">
        <v>55</v>
      </c>
      <c r="G138" t="s">
        <v>129</v>
      </c>
      <c r="H138">
        <v>6</v>
      </c>
      <c r="I138">
        <v>1150</v>
      </c>
      <c r="J138">
        <v>820</v>
      </c>
      <c r="K138">
        <v>0.05</v>
      </c>
      <c r="L138">
        <v>6555</v>
      </c>
      <c r="M138">
        <v>262.2</v>
      </c>
      <c r="N138">
        <v>1635</v>
      </c>
      <c r="O138">
        <v>0.2494279176201373</v>
      </c>
    </row>
    <row r="139" spans="1:15" x14ac:dyDescent="0.45">
      <c r="A139" t="s">
        <v>215</v>
      </c>
      <c r="B139" s="1">
        <v>45400</v>
      </c>
      <c r="C139" t="s">
        <v>89</v>
      </c>
      <c r="D139" t="s">
        <v>33</v>
      </c>
      <c r="E139" t="s">
        <v>71</v>
      </c>
      <c r="F139" t="s">
        <v>55</v>
      </c>
      <c r="G139" t="s">
        <v>90</v>
      </c>
      <c r="H139">
        <v>11</v>
      </c>
      <c r="I139">
        <v>130</v>
      </c>
      <c r="J139">
        <v>62</v>
      </c>
      <c r="K139">
        <v>0.1</v>
      </c>
      <c r="L139">
        <v>1287</v>
      </c>
      <c r="M139">
        <v>25.74</v>
      </c>
      <c r="N139">
        <v>605</v>
      </c>
      <c r="O139">
        <v>0.47008547008547008</v>
      </c>
    </row>
    <row r="140" spans="1:15" x14ac:dyDescent="0.45">
      <c r="A140" t="s">
        <v>216</v>
      </c>
      <c r="B140" s="1">
        <v>45597</v>
      </c>
      <c r="C140" t="s">
        <v>80</v>
      </c>
      <c r="D140" t="s">
        <v>24</v>
      </c>
      <c r="E140" t="s">
        <v>59</v>
      </c>
      <c r="F140" t="s">
        <v>67</v>
      </c>
      <c r="G140" t="s">
        <v>81</v>
      </c>
      <c r="H140">
        <v>17</v>
      </c>
      <c r="I140">
        <v>1750</v>
      </c>
      <c r="J140">
        <v>1300</v>
      </c>
      <c r="K140">
        <v>0.15</v>
      </c>
      <c r="L140">
        <v>25287.5</v>
      </c>
      <c r="M140">
        <v>1517.25</v>
      </c>
      <c r="N140">
        <v>3187.5</v>
      </c>
      <c r="O140">
        <v>0.12605042016806722</v>
      </c>
    </row>
    <row r="141" spans="1:15" x14ac:dyDescent="0.45">
      <c r="A141" t="s">
        <v>217</v>
      </c>
      <c r="B141" s="1">
        <v>45335</v>
      </c>
      <c r="C141" t="s">
        <v>73</v>
      </c>
      <c r="D141" t="s">
        <v>31</v>
      </c>
      <c r="E141" t="s">
        <v>71</v>
      </c>
      <c r="F141" t="s">
        <v>67</v>
      </c>
      <c r="G141" t="s">
        <v>74</v>
      </c>
      <c r="H141">
        <v>16</v>
      </c>
      <c r="I141">
        <v>95</v>
      </c>
      <c r="J141">
        <v>44</v>
      </c>
      <c r="K141">
        <v>0.15</v>
      </c>
      <c r="L141">
        <v>1292</v>
      </c>
      <c r="M141">
        <v>25.84</v>
      </c>
      <c r="N141">
        <v>588</v>
      </c>
      <c r="O141">
        <v>0.45510835913312686</v>
      </c>
    </row>
    <row r="142" spans="1:15" x14ac:dyDescent="0.45">
      <c r="A142" t="s">
        <v>218</v>
      </c>
      <c r="B142" s="1">
        <v>45645</v>
      </c>
      <c r="C142" t="s">
        <v>77</v>
      </c>
      <c r="D142" t="s">
        <v>28</v>
      </c>
      <c r="E142" t="s">
        <v>54</v>
      </c>
      <c r="F142" t="s">
        <v>60</v>
      </c>
      <c r="G142" t="s">
        <v>78</v>
      </c>
      <c r="H142">
        <v>16</v>
      </c>
      <c r="I142">
        <v>210</v>
      </c>
      <c r="J142">
        <v>120</v>
      </c>
      <c r="K142">
        <v>0.15</v>
      </c>
      <c r="L142">
        <v>2856</v>
      </c>
      <c r="M142">
        <v>57.12</v>
      </c>
      <c r="N142">
        <v>936</v>
      </c>
      <c r="O142">
        <v>0.32773109243697479</v>
      </c>
    </row>
    <row r="143" spans="1:15" x14ac:dyDescent="0.45">
      <c r="A143" t="s">
        <v>219</v>
      </c>
      <c r="B143" s="1">
        <v>45300</v>
      </c>
      <c r="C143" t="s">
        <v>53</v>
      </c>
      <c r="D143" t="s">
        <v>14</v>
      </c>
      <c r="E143" t="s">
        <v>59</v>
      </c>
      <c r="F143" t="s">
        <v>55</v>
      </c>
      <c r="G143" t="s">
        <v>56</v>
      </c>
      <c r="H143">
        <v>13</v>
      </c>
      <c r="I143">
        <v>240</v>
      </c>
      <c r="J143">
        <v>150</v>
      </c>
      <c r="K143">
        <v>0.1</v>
      </c>
      <c r="L143">
        <v>2808</v>
      </c>
      <c r="M143">
        <v>56.16</v>
      </c>
      <c r="N143">
        <v>858</v>
      </c>
      <c r="O143">
        <v>0.30555555555555558</v>
      </c>
    </row>
    <row r="144" spans="1:15" x14ac:dyDescent="0.45">
      <c r="A144" t="s">
        <v>220</v>
      </c>
      <c r="B144" s="1">
        <v>45448</v>
      </c>
      <c r="C144" t="s">
        <v>133</v>
      </c>
      <c r="D144" t="s">
        <v>17</v>
      </c>
      <c r="E144" t="s">
        <v>71</v>
      </c>
      <c r="F144" t="s">
        <v>67</v>
      </c>
      <c r="G144" t="s">
        <v>134</v>
      </c>
      <c r="H144">
        <v>18</v>
      </c>
      <c r="I144">
        <v>520</v>
      </c>
      <c r="J144">
        <v>360</v>
      </c>
      <c r="K144">
        <v>0.15</v>
      </c>
      <c r="L144">
        <v>7956</v>
      </c>
      <c r="M144">
        <v>318.24</v>
      </c>
      <c r="N144">
        <v>1476</v>
      </c>
      <c r="O144">
        <v>0.18552036199095023</v>
      </c>
    </row>
    <row r="145" spans="1:15" x14ac:dyDescent="0.45">
      <c r="A145" t="s">
        <v>221</v>
      </c>
      <c r="B145" s="1">
        <v>45509</v>
      </c>
      <c r="C145" t="s">
        <v>66</v>
      </c>
      <c r="D145" t="s">
        <v>17</v>
      </c>
      <c r="E145" t="s">
        <v>71</v>
      </c>
      <c r="F145" t="s">
        <v>67</v>
      </c>
      <c r="G145" t="s">
        <v>68</v>
      </c>
      <c r="H145">
        <v>23</v>
      </c>
      <c r="I145">
        <v>520</v>
      </c>
      <c r="J145">
        <v>360</v>
      </c>
      <c r="K145">
        <v>0.2</v>
      </c>
      <c r="L145">
        <v>9568</v>
      </c>
      <c r="M145">
        <v>382.72</v>
      </c>
      <c r="N145">
        <v>1288</v>
      </c>
      <c r="O145">
        <v>0.13461538461538461</v>
      </c>
    </row>
    <row r="146" spans="1:15" x14ac:dyDescent="0.45">
      <c r="A146" t="s">
        <v>222</v>
      </c>
      <c r="B146" s="1">
        <v>45430</v>
      </c>
      <c r="C146" t="s">
        <v>80</v>
      </c>
      <c r="D146" t="s">
        <v>14</v>
      </c>
      <c r="E146" t="s">
        <v>59</v>
      </c>
      <c r="F146" t="s">
        <v>67</v>
      </c>
      <c r="G146" t="s">
        <v>81</v>
      </c>
      <c r="H146">
        <v>4</v>
      </c>
      <c r="I146">
        <v>240</v>
      </c>
      <c r="J146">
        <v>150</v>
      </c>
      <c r="K146">
        <v>0</v>
      </c>
      <c r="L146">
        <v>960</v>
      </c>
      <c r="M146">
        <v>19.2</v>
      </c>
      <c r="N146">
        <v>360</v>
      </c>
      <c r="O146">
        <v>0.375</v>
      </c>
    </row>
    <row r="147" spans="1:15" x14ac:dyDescent="0.45">
      <c r="A147" t="s">
        <v>223</v>
      </c>
      <c r="B147" s="1">
        <v>45453</v>
      </c>
      <c r="C147" t="s">
        <v>53</v>
      </c>
      <c r="D147" t="s">
        <v>31</v>
      </c>
      <c r="E147" t="s">
        <v>54</v>
      </c>
      <c r="F147" t="s">
        <v>55</v>
      </c>
      <c r="G147" t="s">
        <v>56</v>
      </c>
      <c r="H147">
        <v>25</v>
      </c>
      <c r="I147">
        <v>95</v>
      </c>
      <c r="J147">
        <v>44</v>
      </c>
      <c r="K147">
        <v>0.2</v>
      </c>
      <c r="L147">
        <v>1900</v>
      </c>
      <c r="M147">
        <v>38</v>
      </c>
      <c r="N147">
        <v>800</v>
      </c>
      <c r="O147">
        <v>0.42105263157894735</v>
      </c>
    </row>
    <row r="148" spans="1:15" x14ac:dyDescent="0.45">
      <c r="A148" t="s">
        <v>224</v>
      </c>
      <c r="B148" s="1">
        <v>45390</v>
      </c>
      <c r="C148" t="s">
        <v>73</v>
      </c>
      <c r="D148" t="s">
        <v>31</v>
      </c>
      <c r="E148" t="s">
        <v>71</v>
      </c>
      <c r="F148" t="s">
        <v>67</v>
      </c>
      <c r="G148" t="s">
        <v>74</v>
      </c>
      <c r="H148">
        <v>9</v>
      </c>
      <c r="I148">
        <v>95</v>
      </c>
      <c r="J148">
        <v>44</v>
      </c>
      <c r="K148">
        <v>0.05</v>
      </c>
      <c r="L148">
        <v>812.25</v>
      </c>
      <c r="M148">
        <v>16.245000000000001</v>
      </c>
      <c r="N148">
        <v>416.25</v>
      </c>
      <c r="O148">
        <v>0.51246537396121883</v>
      </c>
    </row>
    <row r="149" spans="1:15" x14ac:dyDescent="0.45">
      <c r="A149" t="s">
        <v>225</v>
      </c>
      <c r="B149" s="1">
        <v>45343</v>
      </c>
      <c r="C149" t="s">
        <v>73</v>
      </c>
      <c r="D149" t="s">
        <v>14</v>
      </c>
      <c r="E149" t="s">
        <v>59</v>
      </c>
      <c r="F149" t="s">
        <v>67</v>
      </c>
      <c r="G149" t="s">
        <v>74</v>
      </c>
      <c r="H149">
        <v>12</v>
      </c>
      <c r="I149">
        <v>240</v>
      </c>
      <c r="J149">
        <v>150</v>
      </c>
      <c r="K149">
        <v>0.1</v>
      </c>
      <c r="L149">
        <v>2592</v>
      </c>
      <c r="M149">
        <v>51.84</v>
      </c>
      <c r="N149">
        <v>792</v>
      </c>
      <c r="O149">
        <v>0.30555555555555558</v>
      </c>
    </row>
    <row r="150" spans="1:15" x14ac:dyDescent="0.45">
      <c r="A150" t="s">
        <v>226</v>
      </c>
      <c r="B150" s="1">
        <v>45446</v>
      </c>
      <c r="C150" t="s">
        <v>128</v>
      </c>
      <c r="D150" t="s">
        <v>31</v>
      </c>
      <c r="E150" t="s">
        <v>54</v>
      </c>
      <c r="F150" t="s">
        <v>55</v>
      </c>
      <c r="G150" t="s">
        <v>129</v>
      </c>
      <c r="H150">
        <v>5</v>
      </c>
      <c r="I150">
        <v>95</v>
      </c>
      <c r="J150">
        <v>44</v>
      </c>
      <c r="K150">
        <v>0</v>
      </c>
      <c r="L150">
        <v>475</v>
      </c>
      <c r="M150">
        <v>9.5</v>
      </c>
      <c r="N150">
        <v>255</v>
      </c>
      <c r="O150">
        <v>0.5368421052631579</v>
      </c>
    </row>
    <row r="151" spans="1:15" x14ac:dyDescent="0.45">
      <c r="A151" t="s">
        <v>227</v>
      </c>
      <c r="B151" s="1">
        <v>45315</v>
      </c>
      <c r="C151" t="s">
        <v>128</v>
      </c>
      <c r="D151" t="s">
        <v>24</v>
      </c>
      <c r="E151" t="s">
        <v>71</v>
      </c>
      <c r="F151" t="s">
        <v>55</v>
      </c>
      <c r="G151" t="s">
        <v>129</v>
      </c>
      <c r="H151">
        <v>23</v>
      </c>
      <c r="I151">
        <v>1750</v>
      </c>
      <c r="J151">
        <v>1300</v>
      </c>
      <c r="K151">
        <v>0.2</v>
      </c>
      <c r="L151">
        <v>32200</v>
      </c>
      <c r="M151">
        <v>1932</v>
      </c>
      <c r="N151">
        <v>2300</v>
      </c>
      <c r="O151">
        <v>7.1428571428571425E-2</v>
      </c>
    </row>
    <row r="152" spans="1:15" x14ac:dyDescent="0.45">
      <c r="A152" t="s">
        <v>228</v>
      </c>
      <c r="B152" s="1">
        <v>45618</v>
      </c>
      <c r="C152" t="s">
        <v>77</v>
      </c>
      <c r="D152" t="s">
        <v>8</v>
      </c>
      <c r="E152" t="s">
        <v>59</v>
      </c>
      <c r="F152" t="s">
        <v>60</v>
      </c>
      <c r="G152" t="s">
        <v>78</v>
      </c>
      <c r="H152">
        <v>19</v>
      </c>
      <c r="I152">
        <v>79</v>
      </c>
      <c r="J152">
        <v>38</v>
      </c>
      <c r="K152">
        <v>0.15</v>
      </c>
      <c r="L152">
        <v>1275.8499999999999</v>
      </c>
      <c r="M152">
        <v>25.516999999999999</v>
      </c>
      <c r="N152">
        <v>553.85</v>
      </c>
      <c r="O152">
        <v>0.43410275502606094</v>
      </c>
    </row>
    <row r="153" spans="1:15" x14ac:dyDescent="0.45">
      <c r="A153" t="s">
        <v>229</v>
      </c>
      <c r="B153" s="1">
        <v>45532</v>
      </c>
      <c r="C153" t="s">
        <v>77</v>
      </c>
      <c r="D153" t="s">
        <v>21</v>
      </c>
      <c r="E153" t="s">
        <v>71</v>
      </c>
      <c r="F153" t="s">
        <v>60</v>
      </c>
      <c r="G153" t="s">
        <v>78</v>
      </c>
      <c r="H153">
        <v>6</v>
      </c>
      <c r="I153">
        <v>1150</v>
      </c>
      <c r="J153">
        <v>820</v>
      </c>
      <c r="K153">
        <v>0.05</v>
      </c>
      <c r="L153">
        <v>6555</v>
      </c>
      <c r="M153">
        <v>262.2</v>
      </c>
      <c r="N153">
        <v>1635</v>
      </c>
      <c r="O153">
        <v>0.2494279176201373</v>
      </c>
    </row>
    <row r="154" spans="1:15" x14ac:dyDescent="0.45">
      <c r="A154" t="s">
        <v>230</v>
      </c>
      <c r="B154" s="1">
        <v>45421</v>
      </c>
      <c r="C154" t="s">
        <v>77</v>
      </c>
      <c r="D154" t="s">
        <v>8</v>
      </c>
      <c r="E154" t="s">
        <v>59</v>
      </c>
      <c r="F154" t="s">
        <v>60</v>
      </c>
      <c r="G154" t="s">
        <v>78</v>
      </c>
      <c r="H154">
        <v>13</v>
      </c>
      <c r="I154">
        <v>79</v>
      </c>
      <c r="J154">
        <v>38</v>
      </c>
      <c r="K154">
        <v>0.1</v>
      </c>
      <c r="L154">
        <v>924.3</v>
      </c>
      <c r="M154">
        <v>18.486000000000001</v>
      </c>
      <c r="N154">
        <v>430.3</v>
      </c>
      <c r="O154">
        <v>0.4655414908579466</v>
      </c>
    </row>
    <row r="155" spans="1:15" x14ac:dyDescent="0.45">
      <c r="A155" t="s">
        <v>231</v>
      </c>
      <c r="B155" s="1">
        <v>45329</v>
      </c>
      <c r="C155" t="s">
        <v>133</v>
      </c>
      <c r="D155" t="s">
        <v>28</v>
      </c>
      <c r="E155" t="s">
        <v>54</v>
      </c>
      <c r="F155" t="s">
        <v>67</v>
      </c>
      <c r="G155" t="s">
        <v>134</v>
      </c>
      <c r="H155">
        <v>2</v>
      </c>
      <c r="I155">
        <v>210</v>
      </c>
      <c r="J155">
        <v>120</v>
      </c>
      <c r="K155">
        <v>0</v>
      </c>
      <c r="L155">
        <v>420</v>
      </c>
      <c r="M155">
        <v>8.4</v>
      </c>
      <c r="N155">
        <v>180</v>
      </c>
      <c r="O155">
        <v>0.42857142857142855</v>
      </c>
    </row>
    <row r="156" spans="1:15" x14ac:dyDescent="0.45">
      <c r="A156" t="s">
        <v>232</v>
      </c>
      <c r="B156" s="1">
        <v>45368</v>
      </c>
      <c r="C156" t="s">
        <v>133</v>
      </c>
      <c r="D156" t="s">
        <v>14</v>
      </c>
      <c r="E156" t="s">
        <v>59</v>
      </c>
      <c r="F156" t="s">
        <v>67</v>
      </c>
      <c r="G156" t="s">
        <v>134</v>
      </c>
      <c r="H156">
        <v>8</v>
      </c>
      <c r="I156">
        <v>240</v>
      </c>
      <c r="J156">
        <v>150</v>
      </c>
      <c r="K156">
        <v>0.05</v>
      </c>
      <c r="L156">
        <v>1824</v>
      </c>
      <c r="M156">
        <v>36.479999999999997</v>
      </c>
      <c r="N156">
        <v>624</v>
      </c>
      <c r="O156">
        <v>0.34210526315789475</v>
      </c>
    </row>
    <row r="157" spans="1:15" x14ac:dyDescent="0.45">
      <c r="A157" t="s">
        <v>233</v>
      </c>
      <c r="B157" s="1">
        <v>45577</v>
      </c>
      <c r="C157" t="s">
        <v>63</v>
      </c>
      <c r="D157" t="s">
        <v>26</v>
      </c>
      <c r="E157" t="s">
        <v>54</v>
      </c>
      <c r="F157" t="s">
        <v>55</v>
      </c>
      <c r="G157" t="s">
        <v>64</v>
      </c>
      <c r="H157">
        <v>20</v>
      </c>
      <c r="I157">
        <v>1050</v>
      </c>
      <c r="J157">
        <v>760</v>
      </c>
      <c r="K157">
        <v>0.15</v>
      </c>
      <c r="L157">
        <v>17850</v>
      </c>
      <c r="M157">
        <v>1071</v>
      </c>
      <c r="N157">
        <v>2650</v>
      </c>
      <c r="O157">
        <v>0.1484593837535014</v>
      </c>
    </row>
    <row r="158" spans="1:15" x14ac:dyDescent="0.45">
      <c r="A158" t="s">
        <v>234</v>
      </c>
      <c r="B158" s="1">
        <v>45559</v>
      </c>
      <c r="C158" t="s">
        <v>63</v>
      </c>
      <c r="D158" t="s">
        <v>21</v>
      </c>
      <c r="E158" t="s">
        <v>71</v>
      </c>
      <c r="F158" t="s">
        <v>55</v>
      </c>
      <c r="G158" t="s">
        <v>64</v>
      </c>
      <c r="H158">
        <v>10</v>
      </c>
      <c r="I158">
        <v>1150</v>
      </c>
      <c r="J158">
        <v>820</v>
      </c>
      <c r="K158">
        <v>0.05</v>
      </c>
      <c r="L158">
        <v>10925</v>
      </c>
      <c r="M158">
        <v>437</v>
      </c>
      <c r="N158">
        <v>2725</v>
      </c>
      <c r="O158">
        <v>0.2494279176201373</v>
      </c>
    </row>
    <row r="159" spans="1:15" x14ac:dyDescent="0.45">
      <c r="A159" t="s">
        <v>235</v>
      </c>
      <c r="B159" s="1">
        <v>45448</v>
      </c>
      <c r="C159" t="s">
        <v>133</v>
      </c>
      <c r="D159" t="s">
        <v>26</v>
      </c>
      <c r="E159" t="s">
        <v>59</v>
      </c>
      <c r="F159" t="s">
        <v>67</v>
      </c>
      <c r="G159" t="s">
        <v>134</v>
      </c>
      <c r="H159">
        <v>20</v>
      </c>
      <c r="I159">
        <v>1050</v>
      </c>
      <c r="J159">
        <v>760</v>
      </c>
      <c r="K159">
        <v>0.15</v>
      </c>
      <c r="L159">
        <v>17850</v>
      </c>
      <c r="M159">
        <v>1071</v>
      </c>
      <c r="N159">
        <v>2650</v>
      </c>
      <c r="O159">
        <v>0.1484593837535014</v>
      </c>
    </row>
    <row r="160" spans="1:15" x14ac:dyDescent="0.45">
      <c r="A160" t="s">
        <v>236</v>
      </c>
      <c r="B160" s="1">
        <v>45398</v>
      </c>
      <c r="C160" t="s">
        <v>73</v>
      </c>
      <c r="D160" t="s">
        <v>14</v>
      </c>
      <c r="E160" t="s">
        <v>54</v>
      </c>
      <c r="F160" t="s">
        <v>67</v>
      </c>
      <c r="G160" t="s">
        <v>74</v>
      </c>
      <c r="H160">
        <v>3</v>
      </c>
      <c r="I160">
        <v>240</v>
      </c>
      <c r="J160">
        <v>150</v>
      </c>
      <c r="K160">
        <v>0</v>
      </c>
      <c r="L160">
        <v>720</v>
      </c>
      <c r="M160">
        <v>14.4</v>
      </c>
      <c r="N160">
        <v>270</v>
      </c>
      <c r="O160">
        <v>0.375</v>
      </c>
    </row>
    <row r="161" spans="1:15" x14ac:dyDescent="0.45">
      <c r="A161" t="s">
        <v>237</v>
      </c>
      <c r="B161" s="1">
        <v>45414</v>
      </c>
      <c r="C161" t="s">
        <v>58</v>
      </c>
      <c r="D161" t="s">
        <v>24</v>
      </c>
      <c r="E161" t="s">
        <v>59</v>
      </c>
      <c r="F161" t="s">
        <v>60</v>
      </c>
      <c r="G161" t="s">
        <v>61</v>
      </c>
      <c r="H161">
        <v>6</v>
      </c>
      <c r="I161">
        <v>1750</v>
      </c>
      <c r="J161">
        <v>1300</v>
      </c>
      <c r="K161">
        <v>0.05</v>
      </c>
      <c r="L161">
        <v>9975</v>
      </c>
      <c r="M161">
        <v>399</v>
      </c>
      <c r="N161">
        <v>2175</v>
      </c>
      <c r="O161">
        <v>0.21804511278195488</v>
      </c>
    </row>
    <row r="162" spans="1:15" x14ac:dyDescent="0.45">
      <c r="A162" t="s">
        <v>238</v>
      </c>
      <c r="B162" s="1">
        <v>45501</v>
      </c>
      <c r="C162" t="s">
        <v>77</v>
      </c>
      <c r="D162" t="s">
        <v>31</v>
      </c>
      <c r="E162" t="s">
        <v>54</v>
      </c>
      <c r="F162" t="s">
        <v>60</v>
      </c>
      <c r="G162" t="s">
        <v>78</v>
      </c>
      <c r="H162">
        <v>16</v>
      </c>
      <c r="I162">
        <v>95</v>
      </c>
      <c r="J162">
        <v>44</v>
      </c>
      <c r="K162">
        <v>0.15</v>
      </c>
      <c r="L162">
        <v>1292</v>
      </c>
      <c r="M162">
        <v>25.84</v>
      </c>
      <c r="N162">
        <v>588</v>
      </c>
      <c r="O162">
        <v>0.45510835913312686</v>
      </c>
    </row>
    <row r="163" spans="1:15" x14ac:dyDescent="0.45">
      <c r="A163" t="s">
        <v>239</v>
      </c>
      <c r="B163" s="1">
        <v>45308</v>
      </c>
      <c r="C163" t="s">
        <v>73</v>
      </c>
      <c r="D163" t="s">
        <v>14</v>
      </c>
      <c r="E163" t="s">
        <v>54</v>
      </c>
      <c r="F163" t="s">
        <v>67</v>
      </c>
      <c r="G163" t="s">
        <v>74</v>
      </c>
      <c r="H163">
        <v>10</v>
      </c>
      <c r="I163">
        <v>240</v>
      </c>
      <c r="J163">
        <v>150</v>
      </c>
      <c r="K163">
        <v>0.05</v>
      </c>
      <c r="L163">
        <v>2280</v>
      </c>
      <c r="M163">
        <v>45.6</v>
      </c>
      <c r="N163">
        <v>780</v>
      </c>
      <c r="O163">
        <v>0.34210526315789475</v>
      </c>
    </row>
    <row r="164" spans="1:15" x14ac:dyDescent="0.45">
      <c r="A164" t="s">
        <v>240</v>
      </c>
      <c r="B164" s="1">
        <v>45328</v>
      </c>
      <c r="C164" t="s">
        <v>73</v>
      </c>
      <c r="D164" t="s">
        <v>38</v>
      </c>
      <c r="E164" t="s">
        <v>71</v>
      </c>
      <c r="F164" t="s">
        <v>67</v>
      </c>
      <c r="G164" t="s">
        <v>74</v>
      </c>
      <c r="H164">
        <v>21</v>
      </c>
      <c r="I164">
        <v>160</v>
      </c>
      <c r="J164">
        <v>88</v>
      </c>
      <c r="K164">
        <v>0.2</v>
      </c>
      <c r="L164">
        <v>2688</v>
      </c>
      <c r="M164">
        <v>53.76</v>
      </c>
      <c r="N164">
        <v>840</v>
      </c>
      <c r="O164">
        <v>0.3125</v>
      </c>
    </row>
    <row r="165" spans="1:15" x14ac:dyDescent="0.45">
      <c r="A165" t="s">
        <v>241</v>
      </c>
      <c r="B165" s="1">
        <v>45509</v>
      </c>
      <c r="C165" t="s">
        <v>53</v>
      </c>
      <c r="D165" t="s">
        <v>24</v>
      </c>
      <c r="E165" t="s">
        <v>59</v>
      </c>
      <c r="F165" t="s">
        <v>55</v>
      </c>
      <c r="G165" t="s">
        <v>56</v>
      </c>
      <c r="H165">
        <v>21</v>
      </c>
      <c r="I165">
        <v>1750</v>
      </c>
      <c r="J165">
        <v>1300</v>
      </c>
      <c r="K165">
        <v>0.2</v>
      </c>
      <c r="L165">
        <v>29400</v>
      </c>
      <c r="M165">
        <v>1764</v>
      </c>
      <c r="N165">
        <v>2100</v>
      </c>
      <c r="O165">
        <v>7.1428571428571425E-2</v>
      </c>
    </row>
    <row r="166" spans="1:15" x14ac:dyDescent="0.45">
      <c r="A166" t="s">
        <v>242</v>
      </c>
      <c r="B166" s="1">
        <v>45428</v>
      </c>
      <c r="C166" t="s">
        <v>58</v>
      </c>
      <c r="D166" t="s">
        <v>8</v>
      </c>
      <c r="E166" t="s">
        <v>59</v>
      </c>
      <c r="F166" t="s">
        <v>60</v>
      </c>
      <c r="G166" t="s">
        <v>61</v>
      </c>
      <c r="H166">
        <v>6</v>
      </c>
      <c r="I166">
        <v>79</v>
      </c>
      <c r="J166">
        <v>38</v>
      </c>
      <c r="K166">
        <v>0.05</v>
      </c>
      <c r="L166">
        <v>450.3</v>
      </c>
      <c r="M166">
        <v>9.0060000000000002</v>
      </c>
      <c r="N166">
        <v>222.3</v>
      </c>
      <c r="O166">
        <v>0.49367088607594933</v>
      </c>
    </row>
    <row r="167" spans="1:15" x14ac:dyDescent="0.45">
      <c r="A167" t="s">
        <v>243</v>
      </c>
      <c r="B167" s="1">
        <v>45596</v>
      </c>
      <c r="C167" t="s">
        <v>133</v>
      </c>
      <c r="D167" t="s">
        <v>38</v>
      </c>
      <c r="E167" t="s">
        <v>71</v>
      </c>
      <c r="F167" t="s">
        <v>67</v>
      </c>
      <c r="G167" t="s">
        <v>134</v>
      </c>
      <c r="H167">
        <v>15</v>
      </c>
      <c r="I167">
        <v>160</v>
      </c>
      <c r="J167">
        <v>88</v>
      </c>
      <c r="K167">
        <v>0.1</v>
      </c>
      <c r="L167">
        <v>2160</v>
      </c>
      <c r="M167">
        <v>43.2</v>
      </c>
      <c r="N167">
        <v>840</v>
      </c>
      <c r="O167">
        <v>0.3888888888888889</v>
      </c>
    </row>
    <row r="168" spans="1:15" x14ac:dyDescent="0.45">
      <c r="A168" t="s">
        <v>244</v>
      </c>
      <c r="B168" s="1">
        <v>45531</v>
      </c>
      <c r="C168" t="s">
        <v>80</v>
      </c>
      <c r="D168" t="s">
        <v>31</v>
      </c>
      <c r="E168" t="s">
        <v>71</v>
      </c>
      <c r="F168" t="s">
        <v>67</v>
      </c>
      <c r="G168" t="s">
        <v>81</v>
      </c>
      <c r="H168">
        <v>9</v>
      </c>
      <c r="I168">
        <v>95</v>
      </c>
      <c r="J168">
        <v>44</v>
      </c>
      <c r="K168">
        <v>0.05</v>
      </c>
      <c r="L168">
        <v>812.25</v>
      </c>
      <c r="M168">
        <v>16.245000000000001</v>
      </c>
      <c r="N168">
        <v>416.25</v>
      </c>
      <c r="O168">
        <v>0.51246537396121883</v>
      </c>
    </row>
    <row r="169" spans="1:15" x14ac:dyDescent="0.45">
      <c r="A169" t="s">
        <v>245</v>
      </c>
      <c r="B169" s="1">
        <v>45516</v>
      </c>
      <c r="C169" t="s">
        <v>53</v>
      </c>
      <c r="D169" t="s">
        <v>26</v>
      </c>
      <c r="E169" t="s">
        <v>59</v>
      </c>
      <c r="F169" t="s">
        <v>55</v>
      </c>
      <c r="G169" t="s">
        <v>56</v>
      </c>
      <c r="H169">
        <v>14</v>
      </c>
      <c r="I169">
        <v>1050</v>
      </c>
      <c r="J169">
        <v>760</v>
      </c>
      <c r="K169">
        <v>0.1</v>
      </c>
      <c r="L169">
        <v>13230</v>
      </c>
      <c r="M169">
        <v>529.20000000000005</v>
      </c>
      <c r="N169">
        <v>2590</v>
      </c>
      <c r="O169">
        <v>0.19576719576719576</v>
      </c>
    </row>
    <row r="170" spans="1:15" x14ac:dyDescent="0.45">
      <c r="A170" t="s">
        <v>246</v>
      </c>
      <c r="B170" s="1">
        <v>45601</v>
      </c>
      <c r="C170" t="s">
        <v>80</v>
      </c>
      <c r="D170" t="s">
        <v>5</v>
      </c>
      <c r="E170" t="s">
        <v>59</v>
      </c>
      <c r="F170" t="s">
        <v>67</v>
      </c>
      <c r="G170" t="s">
        <v>81</v>
      </c>
      <c r="H170">
        <v>8</v>
      </c>
      <c r="I170">
        <v>25</v>
      </c>
      <c r="J170">
        <v>11</v>
      </c>
      <c r="K170">
        <v>0.05</v>
      </c>
      <c r="L170">
        <v>190</v>
      </c>
      <c r="M170">
        <v>3.8</v>
      </c>
      <c r="N170">
        <v>102</v>
      </c>
      <c r="O170">
        <v>0.5368421052631579</v>
      </c>
    </row>
    <row r="171" spans="1:15" x14ac:dyDescent="0.45">
      <c r="A171" t="s">
        <v>247</v>
      </c>
      <c r="B171" s="1">
        <v>45636</v>
      </c>
      <c r="C171" t="s">
        <v>80</v>
      </c>
      <c r="D171" t="s">
        <v>26</v>
      </c>
      <c r="E171" t="s">
        <v>59</v>
      </c>
      <c r="F171" t="s">
        <v>67</v>
      </c>
      <c r="G171" t="s">
        <v>81</v>
      </c>
      <c r="H171">
        <v>25</v>
      </c>
      <c r="I171">
        <v>1050</v>
      </c>
      <c r="J171">
        <v>760</v>
      </c>
      <c r="K171">
        <v>0.2</v>
      </c>
      <c r="L171">
        <v>21000</v>
      </c>
      <c r="M171">
        <v>1260</v>
      </c>
      <c r="N171">
        <v>2000</v>
      </c>
      <c r="O171">
        <v>9.5238095238095233E-2</v>
      </c>
    </row>
    <row r="172" spans="1:15" x14ac:dyDescent="0.45">
      <c r="A172" t="s">
        <v>248</v>
      </c>
      <c r="B172" s="1">
        <v>45532</v>
      </c>
      <c r="C172" t="s">
        <v>66</v>
      </c>
      <c r="D172" t="s">
        <v>28</v>
      </c>
      <c r="E172" t="s">
        <v>71</v>
      </c>
      <c r="F172" t="s">
        <v>67</v>
      </c>
      <c r="G172" t="s">
        <v>68</v>
      </c>
      <c r="H172">
        <v>9</v>
      </c>
      <c r="I172">
        <v>210</v>
      </c>
      <c r="J172">
        <v>120</v>
      </c>
      <c r="K172">
        <v>0.05</v>
      </c>
      <c r="L172">
        <v>1795.5</v>
      </c>
      <c r="M172">
        <v>35.909999999999997</v>
      </c>
      <c r="N172">
        <v>715.5</v>
      </c>
      <c r="O172">
        <v>0.39849624060150374</v>
      </c>
    </row>
    <row r="173" spans="1:15" x14ac:dyDescent="0.45">
      <c r="A173" t="s">
        <v>249</v>
      </c>
      <c r="B173" s="1">
        <v>45591</v>
      </c>
      <c r="C173" t="s">
        <v>63</v>
      </c>
      <c r="D173" t="s">
        <v>28</v>
      </c>
      <c r="E173" t="s">
        <v>71</v>
      </c>
      <c r="F173" t="s">
        <v>55</v>
      </c>
      <c r="G173" t="s">
        <v>64</v>
      </c>
      <c r="H173">
        <v>3</v>
      </c>
      <c r="I173">
        <v>210</v>
      </c>
      <c r="J173">
        <v>120</v>
      </c>
      <c r="K173">
        <v>0</v>
      </c>
      <c r="L173">
        <v>630</v>
      </c>
      <c r="M173">
        <v>12.6</v>
      </c>
      <c r="N173">
        <v>270</v>
      </c>
      <c r="O173">
        <v>0.42857142857142855</v>
      </c>
    </row>
    <row r="174" spans="1:15" x14ac:dyDescent="0.45">
      <c r="A174" t="s">
        <v>250</v>
      </c>
      <c r="B174" s="1">
        <v>45470</v>
      </c>
      <c r="C174" t="s">
        <v>63</v>
      </c>
      <c r="D174" t="s">
        <v>17</v>
      </c>
      <c r="E174" t="s">
        <v>71</v>
      </c>
      <c r="F174" t="s">
        <v>55</v>
      </c>
      <c r="G174" t="s">
        <v>64</v>
      </c>
      <c r="H174">
        <v>22</v>
      </c>
      <c r="I174">
        <v>520</v>
      </c>
      <c r="J174">
        <v>360</v>
      </c>
      <c r="K174">
        <v>0.2</v>
      </c>
      <c r="L174">
        <v>9152</v>
      </c>
      <c r="M174">
        <v>366.08</v>
      </c>
      <c r="N174">
        <v>1232</v>
      </c>
      <c r="O174">
        <v>0.13461538461538461</v>
      </c>
    </row>
    <row r="175" spans="1:15" x14ac:dyDescent="0.45">
      <c r="A175" t="s">
        <v>251</v>
      </c>
      <c r="B175" s="1">
        <v>45374</v>
      </c>
      <c r="C175" t="s">
        <v>89</v>
      </c>
      <c r="D175" t="s">
        <v>19</v>
      </c>
      <c r="E175" t="s">
        <v>54</v>
      </c>
      <c r="F175" t="s">
        <v>55</v>
      </c>
      <c r="G175" t="s">
        <v>90</v>
      </c>
      <c r="H175">
        <v>16</v>
      </c>
      <c r="I175">
        <v>180</v>
      </c>
      <c r="J175">
        <v>105</v>
      </c>
      <c r="K175">
        <v>0.15</v>
      </c>
      <c r="L175">
        <v>2448</v>
      </c>
      <c r="M175">
        <v>48.96</v>
      </c>
      <c r="N175">
        <v>768</v>
      </c>
      <c r="O175">
        <v>0.31372549019607843</v>
      </c>
    </row>
    <row r="176" spans="1:15" x14ac:dyDescent="0.45">
      <c r="A176" t="s">
        <v>252</v>
      </c>
      <c r="B176" s="1">
        <v>45631</v>
      </c>
      <c r="C176" t="s">
        <v>63</v>
      </c>
      <c r="D176" t="s">
        <v>35</v>
      </c>
      <c r="E176" t="s">
        <v>54</v>
      </c>
      <c r="F176" t="s">
        <v>55</v>
      </c>
      <c r="G176" t="s">
        <v>64</v>
      </c>
      <c r="H176">
        <v>2</v>
      </c>
      <c r="I176">
        <v>110</v>
      </c>
      <c r="J176">
        <v>55</v>
      </c>
      <c r="K176">
        <v>0</v>
      </c>
      <c r="L176">
        <v>220</v>
      </c>
      <c r="M176">
        <v>4.4000000000000004</v>
      </c>
      <c r="N176">
        <v>110</v>
      </c>
      <c r="O176">
        <v>0.5</v>
      </c>
    </row>
    <row r="177" spans="1:15" x14ac:dyDescent="0.45">
      <c r="A177" t="s">
        <v>253</v>
      </c>
      <c r="B177" s="1">
        <v>45337</v>
      </c>
      <c r="C177" t="s">
        <v>89</v>
      </c>
      <c r="D177" t="s">
        <v>14</v>
      </c>
      <c r="E177" t="s">
        <v>71</v>
      </c>
      <c r="F177" t="s">
        <v>55</v>
      </c>
      <c r="G177" t="s">
        <v>90</v>
      </c>
      <c r="H177">
        <v>4</v>
      </c>
      <c r="I177">
        <v>240</v>
      </c>
      <c r="J177">
        <v>150</v>
      </c>
      <c r="K177">
        <v>0</v>
      </c>
      <c r="L177">
        <v>960</v>
      </c>
      <c r="M177">
        <v>19.2</v>
      </c>
      <c r="N177">
        <v>360</v>
      </c>
      <c r="O177">
        <v>0.375</v>
      </c>
    </row>
    <row r="178" spans="1:15" x14ac:dyDescent="0.45">
      <c r="A178" t="s">
        <v>254</v>
      </c>
      <c r="B178" s="1">
        <v>45555</v>
      </c>
      <c r="C178" t="s">
        <v>128</v>
      </c>
      <c r="D178" t="s">
        <v>28</v>
      </c>
      <c r="E178" t="s">
        <v>54</v>
      </c>
      <c r="F178" t="s">
        <v>55</v>
      </c>
      <c r="G178" t="s">
        <v>129</v>
      </c>
      <c r="H178">
        <v>15</v>
      </c>
      <c r="I178">
        <v>210</v>
      </c>
      <c r="J178">
        <v>120</v>
      </c>
      <c r="K178">
        <v>0.1</v>
      </c>
      <c r="L178">
        <v>2835</v>
      </c>
      <c r="M178">
        <v>56.7</v>
      </c>
      <c r="N178">
        <v>1035</v>
      </c>
      <c r="O178">
        <v>0.36507936507936506</v>
      </c>
    </row>
    <row r="179" spans="1:15" x14ac:dyDescent="0.45">
      <c r="A179" t="s">
        <v>255</v>
      </c>
      <c r="B179" s="1">
        <v>45319</v>
      </c>
      <c r="C179" t="s">
        <v>73</v>
      </c>
      <c r="D179" t="s">
        <v>24</v>
      </c>
      <c r="E179" t="s">
        <v>71</v>
      </c>
      <c r="F179" t="s">
        <v>67</v>
      </c>
      <c r="G179" t="s">
        <v>74</v>
      </c>
      <c r="H179">
        <v>20</v>
      </c>
      <c r="I179">
        <v>1750</v>
      </c>
      <c r="J179">
        <v>1300</v>
      </c>
      <c r="K179">
        <v>0.15</v>
      </c>
      <c r="L179">
        <v>29750</v>
      </c>
      <c r="M179">
        <v>1785</v>
      </c>
      <c r="N179">
        <v>3750</v>
      </c>
      <c r="O179">
        <v>0.12605042016806722</v>
      </c>
    </row>
    <row r="180" spans="1:15" x14ac:dyDescent="0.45">
      <c r="A180" t="s">
        <v>256</v>
      </c>
      <c r="B180" s="1">
        <v>45612</v>
      </c>
      <c r="C180" t="s">
        <v>77</v>
      </c>
      <c r="D180" t="s">
        <v>33</v>
      </c>
      <c r="E180" t="s">
        <v>59</v>
      </c>
      <c r="F180" t="s">
        <v>60</v>
      </c>
      <c r="G180" t="s">
        <v>78</v>
      </c>
      <c r="H180">
        <v>7</v>
      </c>
      <c r="I180">
        <v>130</v>
      </c>
      <c r="J180">
        <v>62</v>
      </c>
      <c r="K180">
        <v>0.05</v>
      </c>
      <c r="L180">
        <v>864.5</v>
      </c>
      <c r="M180">
        <v>17.29</v>
      </c>
      <c r="N180">
        <v>430.5</v>
      </c>
      <c r="O180">
        <v>0.49797570850202422</v>
      </c>
    </row>
    <row r="181" spans="1:15" x14ac:dyDescent="0.45">
      <c r="A181" t="s">
        <v>257</v>
      </c>
      <c r="B181" s="1">
        <v>45573</v>
      </c>
      <c r="C181" t="s">
        <v>58</v>
      </c>
      <c r="D181" t="s">
        <v>38</v>
      </c>
      <c r="E181" t="s">
        <v>71</v>
      </c>
      <c r="F181" t="s">
        <v>60</v>
      </c>
      <c r="G181" t="s">
        <v>61</v>
      </c>
      <c r="H181">
        <v>15</v>
      </c>
      <c r="I181">
        <v>160</v>
      </c>
      <c r="J181">
        <v>88</v>
      </c>
      <c r="K181">
        <v>0.1</v>
      </c>
      <c r="L181">
        <v>2160</v>
      </c>
      <c r="M181">
        <v>43.2</v>
      </c>
      <c r="N181">
        <v>840</v>
      </c>
      <c r="O181">
        <v>0.3888888888888889</v>
      </c>
    </row>
    <row r="182" spans="1:15" x14ac:dyDescent="0.45">
      <c r="A182" t="s">
        <v>258</v>
      </c>
      <c r="B182" s="1">
        <v>45354</v>
      </c>
      <c r="C182" t="s">
        <v>128</v>
      </c>
      <c r="D182" t="s">
        <v>28</v>
      </c>
      <c r="E182" t="s">
        <v>54</v>
      </c>
      <c r="F182" t="s">
        <v>55</v>
      </c>
      <c r="G182" t="s">
        <v>129</v>
      </c>
      <c r="H182">
        <v>8</v>
      </c>
      <c r="I182">
        <v>210</v>
      </c>
      <c r="J182">
        <v>120</v>
      </c>
      <c r="K182">
        <v>0.05</v>
      </c>
      <c r="L182">
        <v>1596</v>
      </c>
      <c r="M182">
        <v>31.92</v>
      </c>
      <c r="N182">
        <v>636</v>
      </c>
      <c r="O182">
        <v>0.39849624060150374</v>
      </c>
    </row>
    <row r="183" spans="1:15" x14ac:dyDescent="0.45">
      <c r="A183" t="s">
        <v>259</v>
      </c>
      <c r="B183" s="1">
        <v>45451</v>
      </c>
      <c r="C183" t="s">
        <v>66</v>
      </c>
      <c r="D183" t="s">
        <v>5</v>
      </c>
      <c r="E183" t="s">
        <v>54</v>
      </c>
      <c r="F183" t="s">
        <v>67</v>
      </c>
      <c r="G183" t="s">
        <v>68</v>
      </c>
      <c r="H183">
        <v>14</v>
      </c>
      <c r="I183">
        <v>25</v>
      </c>
      <c r="J183">
        <v>11</v>
      </c>
      <c r="K183">
        <v>0.1</v>
      </c>
      <c r="L183">
        <v>315</v>
      </c>
      <c r="M183">
        <v>6.3</v>
      </c>
      <c r="N183">
        <v>161</v>
      </c>
      <c r="O183">
        <v>0.51111111111111107</v>
      </c>
    </row>
    <row r="184" spans="1:15" x14ac:dyDescent="0.45">
      <c r="A184" t="s">
        <v>260</v>
      </c>
      <c r="B184" s="1">
        <v>45407</v>
      </c>
      <c r="C184" t="s">
        <v>53</v>
      </c>
      <c r="D184" t="s">
        <v>21</v>
      </c>
      <c r="E184" t="s">
        <v>59</v>
      </c>
      <c r="F184" t="s">
        <v>55</v>
      </c>
      <c r="G184" t="s">
        <v>56</v>
      </c>
      <c r="H184">
        <v>21</v>
      </c>
      <c r="I184">
        <v>1150</v>
      </c>
      <c r="J184">
        <v>820</v>
      </c>
      <c r="K184">
        <v>0.2</v>
      </c>
      <c r="L184">
        <v>19320</v>
      </c>
      <c r="M184">
        <v>1159.2</v>
      </c>
      <c r="N184">
        <v>2100</v>
      </c>
      <c r="O184">
        <v>0.10869565217391304</v>
      </c>
    </row>
    <row r="185" spans="1:15" x14ac:dyDescent="0.45">
      <c r="A185" t="s">
        <v>261</v>
      </c>
      <c r="B185" s="1">
        <v>45547</v>
      </c>
      <c r="C185" t="s">
        <v>80</v>
      </c>
      <c r="D185" t="s">
        <v>24</v>
      </c>
      <c r="E185" t="s">
        <v>54</v>
      </c>
      <c r="F185" t="s">
        <v>67</v>
      </c>
      <c r="G185" t="s">
        <v>81</v>
      </c>
      <c r="H185">
        <v>9</v>
      </c>
      <c r="I185">
        <v>1750</v>
      </c>
      <c r="J185">
        <v>1300</v>
      </c>
      <c r="K185">
        <v>0.05</v>
      </c>
      <c r="L185">
        <v>14962.5</v>
      </c>
      <c r="M185">
        <v>598.5</v>
      </c>
      <c r="N185">
        <v>3262.5</v>
      </c>
      <c r="O185">
        <v>0.21804511278195488</v>
      </c>
    </row>
    <row r="186" spans="1:15" x14ac:dyDescent="0.45">
      <c r="A186" t="s">
        <v>262</v>
      </c>
      <c r="B186" s="1">
        <v>45539</v>
      </c>
      <c r="C186" t="s">
        <v>77</v>
      </c>
      <c r="D186" t="s">
        <v>12</v>
      </c>
      <c r="E186" t="s">
        <v>71</v>
      </c>
      <c r="F186" t="s">
        <v>60</v>
      </c>
      <c r="G186" t="s">
        <v>78</v>
      </c>
      <c r="H186">
        <v>18</v>
      </c>
      <c r="I186">
        <v>35</v>
      </c>
      <c r="J186">
        <v>14</v>
      </c>
      <c r="K186">
        <v>0.15</v>
      </c>
      <c r="L186">
        <v>535.5</v>
      </c>
      <c r="M186">
        <v>10.71</v>
      </c>
      <c r="N186">
        <v>283.5</v>
      </c>
      <c r="O186">
        <v>0.52941176470588236</v>
      </c>
    </row>
    <row r="187" spans="1:15" x14ac:dyDescent="0.45">
      <c r="A187" t="s">
        <v>263</v>
      </c>
      <c r="B187" s="1">
        <v>45488</v>
      </c>
      <c r="C187" t="s">
        <v>73</v>
      </c>
      <c r="D187" t="s">
        <v>38</v>
      </c>
      <c r="E187" t="s">
        <v>54</v>
      </c>
      <c r="F187" t="s">
        <v>67</v>
      </c>
      <c r="G187" t="s">
        <v>74</v>
      </c>
      <c r="H187">
        <v>17</v>
      </c>
      <c r="I187">
        <v>160</v>
      </c>
      <c r="J187">
        <v>88</v>
      </c>
      <c r="K187">
        <v>0.15</v>
      </c>
      <c r="L187">
        <v>2312</v>
      </c>
      <c r="M187">
        <v>46.24</v>
      </c>
      <c r="N187">
        <v>816</v>
      </c>
      <c r="O187">
        <v>0.35294117647058826</v>
      </c>
    </row>
    <row r="188" spans="1:15" x14ac:dyDescent="0.45">
      <c r="A188" t="s">
        <v>264</v>
      </c>
      <c r="B188" s="1">
        <v>45327</v>
      </c>
      <c r="C188" t="s">
        <v>80</v>
      </c>
      <c r="D188" t="s">
        <v>33</v>
      </c>
      <c r="E188" t="s">
        <v>71</v>
      </c>
      <c r="F188" t="s">
        <v>67</v>
      </c>
      <c r="G188" t="s">
        <v>81</v>
      </c>
      <c r="H188">
        <v>11</v>
      </c>
      <c r="I188">
        <v>130</v>
      </c>
      <c r="J188">
        <v>62</v>
      </c>
      <c r="K188">
        <v>0.1</v>
      </c>
      <c r="L188">
        <v>1287</v>
      </c>
      <c r="M188">
        <v>25.74</v>
      </c>
      <c r="N188">
        <v>605</v>
      </c>
      <c r="O188">
        <v>0.47008547008547008</v>
      </c>
    </row>
    <row r="189" spans="1:15" x14ac:dyDescent="0.45">
      <c r="A189" t="s">
        <v>265</v>
      </c>
      <c r="B189" s="1">
        <v>45293</v>
      </c>
      <c r="C189" t="s">
        <v>80</v>
      </c>
      <c r="D189" t="s">
        <v>31</v>
      </c>
      <c r="E189" t="s">
        <v>71</v>
      </c>
      <c r="F189" t="s">
        <v>67</v>
      </c>
      <c r="G189" t="s">
        <v>81</v>
      </c>
      <c r="H189">
        <v>19</v>
      </c>
      <c r="I189">
        <v>95</v>
      </c>
      <c r="J189">
        <v>44</v>
      </c>
      <c r="K189">
        <v>0.15</v>
      </c>
      <c r="L189">
        <v>1534.25</v>
      </c>
      <c r="M189">
        <v>30.684999999999999</v>
      </c>
      <c r="N189">
        <v>698.25</v>
      </c>
      <c r="O189">
        <v>0.45510835913312686</v>
      </c>
    </row>
    <row r="190" spans="1:15" x14ac:dyDescent="0.45">
      <c r="A190" t="s">
        <v>266</v>
      </c>
      <c r="B190" s="1">
        <v>45368</v>
      </c>
      <c r="C190" t="s">
        <v>77</v>
      </c>
      <c r="D190" t="s">
        <v>24</v>
      </c>
      <c r="E190" t="s">
        <v>71</v>
      </c>
      <c r="F190" t="s">
        <v>60</v>
      </c>
      <c r="G190" t="s">
        <v>78</v>
      </c>
      <c r="H190">
        <v>12</v>
      </c>
      <c r="I190">
        <v>1750</v>
      </c>
      <c r="J190">
        <v>1300</v>
      </c>
      <c r="K190">
        <v>0.1</v>
      </c>
      <c r="L190">
        <v>18900</v>
      </c>
      <c r="M190">
        <v>1134</v>
      </c>
      <c r="N190">
        <v>3300</v>
      </c>
      <c r="O190">
        <v>0.17460317460317459</v>
      </c>
    </row>
    <row r="191" spans="1:15" x14ac:dyDescent="0.45">
      <c r="A191" t="s">
        <v>267</v>
      </c>
      <c r="B191" s="1">
        <v>45574</v>
      </c>
      <c r="C191" t="s">
        <v>66</v>
      </c>
      <c r="D191" t="s">
        <v>19</v>
      </c>
      <c r="E191" t="s">
        <v>71</v>
      </c>
      <c r="F191" t="s">
        <v>67</v>
      </c>
      <c r="G191" t="s">
        <v>68</v>
      </c>
      <c r="H191">
        <v>11</v>
      </c>
      <c r="I191">
        <v>180</v>
      </c>
      <c r="J191">
        <v>105</v>
      </c>
      <c r="K191">
        <v>0.1</v>
      </c>
      <c r="L191">
        <v>1782</v>
      </c>
      <c r="M191">
        <v>35.64</v>
      </c>
      <c r="N191">
        <v>627</v>
      </c>
      <c r="O191">
        <v>0.35185185185185186</v>
      </c>
    </row>
    <row r="192" spans="1:15" x14ac:dyDescent="0.45">
      <c r="A192" t="s">
        <v>268</v>
      </c>
      <c r="B192" s="1">
        <v>45649</v>
      </c>
      <c r="C192" t="s">
        <v>73</v>
      </c>
      <c r="D192" t="s">
        <v>26</v>
      </c>
      <c r="E192" t="s">
        <v>71</v>
      </c>
      <c r="F192" t="s">
        <v>67</v>
      </c>
      <c r="G192" t="s">
        <v>74</v>
      </c>
      <c r="H192">
        <v>8</v>
      </c>
      <c r="I192">
        <v>1050</v>
      </c>
      <c r="J192">
        <v>760</v>
      </c>
      <c r="K192">
        <v>0.05</v>
      </c>
      <c r="L192">
        <v>7980</v>
      </c>
      <c r="M192">
        <v>319.2</v>
      </c>
      <c r="N192">
        <v>1900</v>
      </c>
      <c r="O192">
        <v>0.23809523809523808</v>
      </c>
    </row>
    <row r="193" spans="1:15" x14ac:dyDescent="0.45">
      <c r="A193" t="s">
        <v>269</v>
      </c>
      <c r="B193" s="1">
        <v>45314</v>
      </c>
      <c r="C193" t="s">
        <v>89</v>
      </c>
      <c r="D193" t="s">
        <v>31</v>
      </c>
      <c r="E193" t="s">
        <v>71</v>
      </c>
      <c r="F193" t="s">
        <v>55</v>
      </c>
      <c r="G193" t="s">
        <v>90</v>
      </c>
      <c r="H193">
        <v>23</v>
      </c>
      <c r="I193">
        <v>95</v>
      </c>
      <c r="J193">
        <v>44</v>
      </c>
      <c r="K193">
        <v>0.2</v>
      </c>
      <c r="L193">
        <v>1748</v>
      </c>
      <c r="M193">
        <v>34.96</v>
      </c>
      <c r="N193">
        <v>736</v>
      </c>
      <c r="O193">
        <v>0.42105263157894735</v>
      </c>
    </row>
    <row r="194" spans="1:15" x14ac:dyDescent="0.45">
      <c r="A194" t="s">
        <v>270</v>
      </c>
      <c r="B194" s="1">
        <v>45489</v>
      </c>
      <c r="C194" t="s">
        <v>58</v>
      </c>
      <c r="D194" t="s">
        <v>21</v>
      </c>
      <c r="E194" t="s">
        <v>59</v>
      </c>
      <c r="F194" t="s">
        <v>60</v>
      </c>
      <c r="G194" t="s">
        <v>61</v>
      </c>
      <c r="H194">
        <v>5</v>
      </c>
      <c r="I194">
        <v>1150</v>
      </c>
      <c r="J194">
        <v>820</v>
      </c>
      <c r="K194">
        <v>0</v>
      </c>
      <c r="L194">
        <v>5750</v>
      </c>
      <c r="M194">
        <v>230</v>
      </c>
      <c r="N194">
        <v>1650</v>
      </c>
      <c r="O194">
        <v>0.28695652173913044</v>
      </c>
    </row>
    <row r="195" spans="1:15" x14ac:dyDescent="0.45">
      <c r="A195" t="s">
        <v>271</v>
      </c>
      <c r="B195" s="1">
        <v>45343</v>
      </c>
      <c r="C195" t="s">
        <v>77</v>
      </c>
      <c r="D195" t="s">
        <v>8</v>
      </c>
      <c r="E195" t="s">
        <v>54</v>
      </c>
      <c r="F195" t="s">
        <v>60</v>
      </c>
      <c r="G195" t="s">
        <v>78</v>
      </c>
      <c r="H195">
        <v>15</v>
      </c>
      <c r="I195">
        <v>79</v>
      </c>
      <c r="J195">
        <v>38</v>
      </c>
      <c r="K195">
        <v>0.1</v>
      </c>
      <c r="L195">
        <v>1066.5</v>
      </c>
      <c r="M195">
        <v>21.33</v>
      </c>
      <c r="N195">
        <v>496.5</v>
      </c>
      <c r="O195">
        <v>0.46554149085794655</v>
      </c>
    </row>
    <row r="196" spans="1:15" x14ac:dyDescent="0.45">
      <c r="A196" t="s">
        <v>272</v>
      </c>
      <c r="B196" s="1">
        <v>45365</v>
      </c>
      <c r="C196" t="s">
        <v>63</v>
      </c>
      <c r="D196" t="s">
        <v>35</v>
      </c>
      <c r="E196" t="s">
        <v>54</v>
      </c>
      <c r="F196" t="s">
        <v>55</v>
      </c>
      <c r="G196" t="s">
        <v>64</v>
      </c>
      <c r="H196">
        <v>5</v>
      </c>
      <c r="I196">
        <v>110</v>
      </c>
      <c r="J196">
        <v>55</v>
      </c>
      <c r="K196">
        <v>0</v>
      </c>
      <c r="L196">
        <v>550</v>
      </c>
      <c r="M196">
        <v>11</v>
      </c>
      <c r="N196">
        <v>275</v>
      </c>
      <c r="O196">
        <v>0.5</v>
      </c>
    </row>
    <row r="197" spans="1:15" x14ac:dyDescent="0.45">
      <c r="A197" t="s">
        <v>273</v>
      </c>
      <c r="B197" s="1">
        <v>45532</v>
      </c>
      <c r="C197" t="s">
        <v>80</v>
      </c>
      <c r="D197" t="s">
        <v>17</v>
      </c>
      <c r="E197" t="s">
        <v>54</v>
      </c>
      <c r="F197" t="s">
        <v>67</v>
      </c>
      <c r="G197" t="s">
        <v>81</v>
      </c>
      <c r="H197">
        <v>23</v>
      </c>
      <c r="I197">
        <v>520</v>
      </c>
      <c r="J197">
        <v>360</v>
      </c>
      <c r="K197">
        <v>0.2</v>
      </c>
      <c r="L197">
        <v>9568</v>
      </c>
      <c r="M197">
        <v>382.72</v>
      </c>
      <c r="N197">
        <v>1288</v>
      </c>
      <c r="O197">
        <v>0.13461538461538461</v>
      </c>
    </row>
    <row r="198" spans="1:15" x14ac:dyDescent="0.45">
      <c r="A198" t="s">
        <v>274</v>
      </c>
      <c r="B198" s="1">
        <v>45624</v>
      </c>
      <c r="C198" t="s">
        <v>53</v>
      </c>
      <c r="D198" t="s">
        <v>35</v>
      </c>
      <c r="E198" t="s">
        <v>71</v>
      </c>
      <c r="F198" t="s">
        <v>55</v>
      </c>
      <c r="G198" t="s">
        <v>56</v>
      </c>
      <c r="H198">
        <v>22</v>
      </c>
      <c r="I198">
        <v>110</v>
      </c>
      <c r="J198">
        <v>55</v>
      </c>
      <c r="K198">
        <v>0.2</v>
      </c>
      <c r="L198">
        <v>1936</v>
      </c>
      <c r="M198">
        <v>38.72</v>
      </c>
      <c r="N198">
        <v>726</v>
      </c>
      <c r="O198">
        <v>0.375</v>
      </c>
    </row>
    <row r="199" spans="1:15" x14ac:dyDescent="0.45">
      <c r="A199" t="s">
        <v>275</v>
      </c>
      <c r="B199" s="1">
        <v>45454</v>
      </c>
      <c r="C199" t="s">
        <v>77</v>
      </c>
      <c r="D199" t="s">
        <v>35</v>
      </c>
      <c r="E199" t="s">
        <v>54</v>
      </c>
      <c r="F199" t="s">
        <v>60</v>
      </c>
      <c r="G199" t="s">
        <v>78</v>
      </c>
      <c r="H199">
        <v>2</v>
      </c>
      <c r="I199">
        <v>110</v>
      </c>
      <c r="J199">
        <v>55</v>
      </c>
      <c r="K199">
        <v>0</v>
      </c>
      <c r="L199">
        <v>220</v>
      </c>
      <c r="M199">
        <v>4.4000000000000004</v>
      </c>
      <c r="N199">
        <v>110</v>
      </c>
      <c r="O199">
        <v>0.5</v>
      </c>
    </row>
    <row r="200" spans="1:15" x14ac:dyDescent="0.45">
      <c r="A200" t="s">
        <v>276</v>
      </c>
      <c r="B200" s="1">
        <v>45412</v>
      </c>
      <c r="C200" t="s">
        <v>80</v>
      </c>
      <c r="D200" t="s">
        <v>12</v>
      </c>
      <c r="E200" t="s">
        <v>54</v>
      </c>
      <c r="F200" t="s">
        <v>67</v>
      </c>
      <c r="G200" t="s">
        <v>81</v>
      </c>
      <c r="H200">
        <v>3</v>
      </c>
      <c r="I200">
        <v>35</v>
      </c>
      <c r="J200">
        <v>14</v>
      </c>
      <c r="K200">
        <v>0</v>
      </c>
      <c r="L200">
        <v>105</v>
      </c>
      <c r="M200">
        <v>2.1</v>
      </c>
      <c r="N200">
        <v>63</v>
      </c>
      <c r="O200">
        <v>0.6</v>
      </c>
    </row>
    <row r="201" spans="1:15" x14ac:dyDescent="0.45">
      <c r="A201" t="s">
        <v>277</v>
      </c>
      <c r="B201" s="1">
        <v>45342</v>
      </c>
      <c r="C201" t="s">
        <v>53</v>
      </c>
      <c r="D201" t="s">
        <v>21</v>
      </c>
      <c r="E201" t="s">
        <v>59</v>
      </c>
      <c r="F201" t="s">
        <v>55</v>
      </c>
      <c r="G201" t="s">
        <v>56</v>
      </c>
      <c r="H201">
        <v>23</v>
      </c>
      <c r="I201">
        <v>1150</v>
      </c>
      <c r="J201">
        <v>820</v>
      </c>
      <c r="K201">
        <v>0.2</v>
      </c>
      <c r="L201">
        <v>21160</v>
      </c>
      <c r="M201">
        <v>1269.5999999999999</v>
      </c>
      <c r="N201">
        <v>2300</v>
      </c>
      <c r="O201">
        <v>0.10869565217391304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90F4F-F7E4-4B9D-A593-B4150CC12283}">
  <dimension ref="A1:E16"/>
  <sheetViews>
    <sheetView workbookViewId="0"/>
  </sheetViews>
  <sheetFormatPr defaultRowHeight="14.25" x14ac:dyDescent="0.45"/>
  <cols>
    <col min="1" max="1" width="10.9296875" bestFit="1" customWidth="1"/>
    <col min="2" max="2" width="18.33203125" bestFit="1" customWidth="1"/>
    <col min="3" max="3" width="10.1328125" bestFit="1" customWidth="1"/>
    <col min="4" max="4" width="10.33203125" bestFit="1" customWidth="1"/>
    <col min="5" max="5" width="9.86328125" bestFit="1" customWidth="1"/>
  </cols>
  <sheetData>
    <row r="1" spans="1:5" x14ac:dyDescent="0.45">
      <c r="A1" t="s">
        <v>0</v>
      </c>
      <c r="B1" t="s">
        <v>1</v>
      </c>
      <c r="C1" t="s">
        <v>2</v>
      </c>
      <c r="D1" t="s">
        <v>3</v>
      </c>
      <c r="E1" t="s">
        <v>4</v>
      </c>
    </row>
    <row r="2" spans="1:5" x14ac:dyDescent="0.45">
      <c r="A2" t="s">
        <v>5</v>
      </c>
      <c r="B2" t="s">
        <v>6</v>
      </c>
      <c r="C2" t="s">
        <v>7</v>
      </c>
      <c r="D2">
        <v>25</v>
      </c>
      <c r="E2">
        <v>11</v>
      </c>
    </row>
    <row r="3" spans="1:5" x14ac:dyDescent="0.45">
      <c r="A3" t="s">
        <v>8</v>
      </c>
      <c r="B3" t="s">
        <v>9</v>
      </c>
      <c r="C3" t="s">
        <v>7</v>
      </c>
      <c r="D3">
        <v>79</v>
      </c>
      <c r="E3">
        <v>38</v>
      </c>
    </row>
    <row r="4" spans="1:5" x14ac:dyDescent="0.45">
      <c r="A4" t="s">
        <v>10</v>
      </c>
      <c r="B4" t="s">
        <v>11</v>
      </c>
      <c r="C4" t="s">
        <v>7</v>
      </c>
      <c r="D4">
        <v>45</v>
      </c>
      <c r="E4">
        <v>19</v>
      </c>
    </row>
    <row r="5" spans="1:5" x14ac:dyDescent="0.45">
      <c r="A5" t="s">
        <v>12</v>
      </c>
      <c r="B5" t="s">
        <v>13</v>
      </c>
      <c r="C5" t="s">
        <v>7</v>
      </c>
      <c r="D5">
        <v>35</v>
      </c>
      <c r="E5">
        <v>14</v>
      </c>
    </row>
    <row r="6" spans="1:5" x14ac:dyDescent="0.45">
      <c r="A6" t="s">
        <v>14</v>
      </c>
      <c r="B6" t="s">
        <v>15</v>
      </c>
      <c r="C6" t="s">
        <v>16</v>
      </c>
      <c r="D6">
        <v>240</v>
      </c>
      <c r="E6">
        <v>150</v>
      </c>
    </row>
    <row r="7" spans="1:5" x14ac:dyDescent="0.45">
      <c r="A7" t="s">
        <v>17</v>
      </c>
      <c r="B7" t="s">
        <v>18</v>
      </c>
      <c r="C7" t="s">
        <v>16</v>
      </c>
      <c r="D7">
        <v>520</v>
      </c>
      <c r="E7">
        <v>360</v>
      </c>
    </row>
    <row r="8" spans="1:5" x14ac:dyDescent="0.45">
      <c r="A8" t="s">
        <v>19</v>
      </c>
      <c r="B8" t="s">
        <v>20</v>
      </c>
      <c r="C8" t="s">
        <v>16</v>
      </c>
      <c r="D8">
        <v>180</v>
      </c>
      <c r="E8">
        <v>105</v>
      </c>
    </row>
    <row r="9" spans="1:5" x14ac:dyDescent="0.45">
      <c r="A9" t="s">
        <v>21</v>
      </c>
      <c r="B9" t="s">
        <v>22</v>
      </c>
      <c r="C9" t="s">
        <v>23</v>
      </c>
      <c r="D9">
        <v>1150</v>
      </c>
      <c r="E9">
        <v>820</v>
      </c>
    </row>
    <row r="10" spans="1:5" x14ac:dyDescent="0.45">
      <c r="A10" t="s">
        <v>24</v>
      </c>
      <c r="B10" t="s">
        <v>25</v>
      </c>
      <c r="C10" t="s">
        <v>23</v>
      </c>
      <c r="D10">
        <v>1750</v>
      </c>
      <c r="E10">
        <v>1300</v>
      </c>
    </row>
    <row r="11" spans="1:5" x14ac:dyDescent="0.45">
      <c r="A11" t="s">
        <v>26</v>
      </c>
      <c r="B11" t="s">
        <v>27</v>
      </c>
      <c r="C11" t="s">
        <v>23</v>
      </c>
      <c r="D11">
        <v>1050</v>
      </c>
      <c r="E11">
        <v>760</v>
      </c>
    </row>
    <row r="12" spans="1:5" x14ac:dyDescent="0.45">
      <c r="A12" t="s">
        <v>28</v>
      </c>
      <c r="B12" t="s">
        <v>29</v>
      </c>
      <c r="C12" t="s">
        <v>30</v>
      </c>
      <c r="D12">
        <v>210</v>
      </c>
      <c r="E12">
        <v>120</v>
      </c>
    </row>
    <row r="13" spans="1:5" x14ac:dyDescent="0.45">
      <c r="A13" t="s">
        <v>31</v>
      </c>
      <c r="B13" t="s">
        <v>32</v>
      </c>
      <c r="C13" t="s">
        <v>30</v>
      </c>
      <c r="D13">
        <v>95</v>
      </c>
      <c r="E13">
        <v>44</v>
      </c>
    </row>
    <row r="14" spans="1:5" x14ac:dyDescent="0.45">
      <c r="A14" t="s">
        <v>33</v>
      </c>
      <c r="B14" t="s">
        <v>34</v>
      </c>
      <c r="C14" t="s">
        <v>30</v>
      </c>
      <c r="D14">
        <v>130</v>
      </c>
      <c r="E14">
        <v>62</v>
      </c>
    </row>
    <row r="15" spans="1:5" x14ac:dyDescent="0.45">
      <c r="A15" t="s">
        <v>35</v>
      </c>
      <c r="B15" t="s">
        <v>36</v>
      </c>
      <c r="C15" t="s">
        <v>37</v>
      </c>
      <c r="D15">
        <v>110</v>
      </c>
      <c r="E15">
        <v>55</v>
      </c>
    </row>
    <row r="16" spans="1:5" x14ac:dyDescent="0.45">
      <c r="A16" t="s">
        <v>38</v>
      </c>
      <c r="B16" t="s">
        <v>39</v>
      </c>
      <c r="C16" t="s">
        <v>37</v>
      </c>
      <c r="D16">
        <v>160</v>
      </c>
      <c r="E16">
        <v>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A957E2-FBCC-47B5-A5B4-B37E0243EF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revenue_by_products(chart)</vt:lpstr>
      <vt:lpstr>profit_by_salesperson(chart)</vt:lpstr>
      <vt:lpstr>revenue_analysis_slicer</vt:lpstr>
      <vt:lpstr>sales_products_salespeople</vt:lpstr>
      <vt:lpstr>01_salespeople</vt:lpstr>
      <vt:lpstr>01_sales</vt:lpstr>
      <vt:lpstr>01_products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Shrestha</dc:creator>
  <cp:lastModifiedBy>Rajan Shrestha</cp:lastModifiedBy>
  <dcterms:created xsi:type="dcterms:W3CDTF">2026-06-23T15:48:24Z</dcterms:created>
  <dcterms:modified xsi:type="dcterms:W3CDTF">2026-06-24T18:11:45Z</dcterms:modified>
</cp:coreProperties>
</file>