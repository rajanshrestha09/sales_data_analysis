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31a47612db4168b/Desktop/Excel Learning/01_Project/"/>
    </mc:Choice>
  </mc:AlternateContent>
  <xr:revisionPtr revIDLastSave="524" documentId="8_{C1056DEB-771A-4488-80EF-6D77C8D6ED2E}" xr6:coauthVersionLast="47" xr6:coauthVersionMax="47" xr10:uidLastSave="{517DBFBB-4D4A-4432-89C4-B265E6C65493}"/>
  <bookViews>
    <workbookView xWindow="-98" yWindow="-98" windowWidth="28996" windowHeight="15675" xr2:uid="{EF623799-33D8-414F-9278-C6299D47AA00}"/>
  </bookViews>
  <sheets>
    <sheet name="analysis_table_chart" sheetId="7" r:id="rId1"/>
    <sheet name="01_products" sheetId="9" r:id="rId2"/>
    <sheet name="01_sales" sheetId="3" r:id="rId3"/>
    <sheet name="01_salespeople" sheetId="6" r:id="rId4"/>
  </sheets>
  <definedNames>
    <definedName name="ExternalData_1" localSheetId="1" hidden="1">'01_products'!$A$1:$E$16</definedName>
    <definedName name="ExternalData_1" localSheetId="2" hidden="1">'01_sales'!$A$1:$O$201</definedName>
    <definedName name="ExternalData_1" localSheetId="3" hidden="1">'01_salespeople'!$A$1:$D$11</definedName>
    <definedName name="Slicer_Category">#N/A</definedName>
  </definedNames>
  <calcPr calcId="191029"/>
  <pivotCaches>
    <pivotCache cacheId="256" r:id="rId5"/>
    <pivotCache cacheId="259" r:id="rId6"/>
    <pivotCache cacheId="348" r:id="rId7"/>
  </pivotCaches>
  <extLst>
    <ext xmlns:x14="http://schemas.microsoft.com/office/spreadsheetml/2009/9/main" uri="{876F7934-8845-4945-9796-88D515C7AA90}">
      <x14:pivotCaches>
        <pivotCache cacheId="169"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01_products_87a1c4b2-1123-476c-9a21-931b6aafcf27" name="01_products" connection="Query - 01_products"/>
          <x15:modelTable id="01_sales_263a07bc-4b11-480b-be15-59f358282027" name="01_sales" connection="Query - 01_sales"/>
          <x15:modelTable id="01_salespeople_8859ec0e-ae17-49eb-a987-f341435862f4" name="01_salespeople" connection="Query - 01_salespeople"/>
        </x15:modelTables>
        <x15:modelRelationships>
          <x15:modelRelationship fromTable="01_sales" fromColumn="ProductID" toTable="01_products" toColumn="ProductID"/>
          <x15:modelRelationship fromTable="01_sales" fromColumn="SalespersonID" toTable="01_salespeople" toColumn="SalespersonID"/>
        </x15:modelRelationships>
        <x15:extLst>
          <ext xmlns:x16="http://schemas.microsoft.com/office/spreadsheetml/2014/11/main" uri="{9835A34E-60A6-4A7C-AAB8-D5F71C897F49}">
            <x16:modelTimeGroupings>
              <x16:modelTimeGrouping tableName="01_sales"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944265-EAB0-4D50-AA72-5968CEDB6C24}" keepAlive="1" name="ModelConnection_ExternalData_1" description="Data Model" type="5" refreshedVersion="8" minRefreshableVersion="5" saveData="1">
    <dbPr connection="Data Model Connection" command="01_sales" commandType="3"/>
    <extLst>
      <ext xmlns:x15="http://schemas.microsoft.com/office/spreadsheetml/2010/11/main" uri="{DE250136-89BD-433C-8126-D09CA5730AF9}">
        <x15:connection id="" model="1"/>
      </ext>
    </extLst>
  </connection>
  <connection id="2" xr16:uid="{BC916998-D3E2-418D-B12A-FD094A307A80}" keepAlive="1" name="ModelConnection_ExternalData_11" description="Data Model" type="5" refreshedVersion="8" minRefreshableVersion="5" saveData="1">
    <dbPr connection="Data Model Connection" command="01_salespeople" commandType="3"/>
    <extLst>
      <ext xmlns:x15="http://schemas.microsoft.com/office/spreadsheetml/2010/11/main" uri="{DE250136-89BD-433C-8126-D09CA5730AF9}">
        <x15:connection id="" model="1"/>
      </ext>
    </extLst>
  </connection>
  <connection id="3" xr16:uid="{22D4FFB1-CD60-4971-96EA-4961C3CC9DE9}" keepAlive="1" name="ModelConnection_ExternalData_12" description="Data Model" type="5" refreshedVersion="8" minRefreshableVersion="5" saveData="1">
    <dbPr connection="Data Model Connection" command="01_products" commandType="3"/>
    <extLst>
      <ext xmlns:x15="http://schemas.microsoft.com/office/spreadsheetml/2010/11/main" uri="{DE250136-89BD-433C-8126-D09CA5730AF9}">
        <x15:connection id="" model="1"/>
      </ext>
    </extLst>
  </connection>
  <connection id="4" xr16:uid="{A5E0FA10-742F-48F9-BD0F-818417E27A6D}" name="Query - 01_products" description="Connection to the '01_products' query in the workbook." type="100" refreshedVersion="8" minRefreshableVersion="5">
    <extLst>
      <ext xmlns:x15="http://schemas.microsoft.com/office/spreadsheetml/2010/11/main" uri="{DE250136-89BD-433C-8126-D09CA5730AF9}">
        <x15:connection id="289e01a5-d1d4-43e5-a82e-d3e75742456f"/>
      </ext>
    </extLst>
  </connection>
  <connection id="5" xr16:uid="{32F01101-ED1D-4847-9A94-E2918720A036}" name="Query - 01_sales" description="Connection to the '01_sales' query in the workbook." type="100" refreshedVersion="8" minRefreshableVersion="5">
    <extLst>
      <ext xmlns:x15="http://schemas.microsoft.com/office/spreadsheetml/2010/11/main" uri="{DE250136-89BD-433C-8126-D09CA5730AF9}">
        <x15:connection id="85da083b-6b2e-4a7f-8758-e1ff61f765d0"/>
      </ext>
    </extLst>
  </connection>
  <connection id="6" xr16:uid="{F28374D4-41A4-4195-AB0A-0EEA1C9750ED}" name="Query - 01_salespeople" description="Connection to the '01_salespeople' query in the workbook." type="100" refreshedVersion="8" minRefreshableVersion="5">
    <extLst>
      <ext xmlns:x15="http://schemas.microsoft.com/office/spreadsheetml/2010/11/main" uri="{DE250136-89BD-433C-8126-D09CA5730AF9}">
        <x15:connection id="bb0d8e6b-84ef-49f3-8760-8b2dc75ed8e4"/>
      </ext>
    </extLst>
  </connection>
  <connection id="7" xr16:uid="{3F3F0BF2-2800-4853-9C53-829213D58AA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<sst xmlns="http://schemas.openxmlformats.org/spreadsheetml/2006/main" count="1546" uniqueCount="308">
  <si>
    <t>ProductID</t>
  </si>
  <si>
    <t>Product</t>
  </si>
  <si>
    <t>Category</t>
  </si>
  <si>
    <t>UnitPrice</t>
  </si>
  <si>
    <t>UnitCost</t>
  </si>
  <si>
    <t>P-101</t>
  </si>
  <si>
    <t>Wireless Mouse</t>
  </si>
  <si>
    <t>Accessories</t>
  </si>
  <si>
    <t>P-102</t>
  </si>
  <si>
    <t>Mechanical Keyboard</t>
  </si>
  <si>
    <t>P-103</t>
  </si>
  <si>
    <t>USB-C Hub</t>
  </si>
  <si>
    <t>P-104</t>
  </si>
  <si>
    <t>Laptop Stand</t>
  </si>
  <si>
    <t>P-201</t>
  </si>
  <si>
    <t>27in Monitor</t>
  </si>
  <si>
    <t>Displays</t>
  </si>
  <si>
    <t>P-202</t>
  </si>
  <si>
    <t>34in Ultrawide</t>
  </si>
  <si>
    <t>P-203</t>
  </si>
  <si>
    <t>Portable Monitor</t>
  </si>
  <si>
    <t>P-301</t>
  </si>
  <si>
    <t>Ultrabook 14</t>
  </si>
  <si>
    <t>Laptops</t>
  </si>
  <si>
    <t>P-302</t>
  </si>
  <si>
    <t>Gaming Laptop 16</t>
  </si>
  <si>
    <t>P-303</t>
  </si>
  <si>
    <t>Business Laptop 15</t>
  </si>
  <si>
    <t>P-401</t>
  </si>
  <si>
    <t>Noise-Cancel Headset</t>
  </si>
  <si>
    <t>Audio</t>
  </si>
  <si>
    <t>P-402</t>
  </si>
  <si>
    <t>Desk Speakers</t>
  </si>
  <si>
    <t>P-403</t>
  </si>
  <si>
    <t>Conference Mic</t>
  </si>
  <si>
    <t>P-501</t>
  </si>
  <si>
    <t>Webcam 4K</t>
  </si>
  <si>
    <t>Peripherals</t>
  </si>
  <si>
    <t>P-502</t>
  </si>
  <si>
    <t>Document Scanner</t>
  </si>
  <si>
    <t>OrderID</t>
  </si>
  <si>
    <t>OrderDate</t>
  </si>
  <si>
    <t>SalespersonID</t>
  </si>
  <si>
    <t>Channel</t>
  </si>
  <si>
    <t>Region</t>
  </si>
  <si>
    <t>Country</t>
  </si>
  <si>
    <t>Quantity</t>
  </si>
  <si>
    <t>ORD-10004</t>
  </si>
  <si>
    <t>S-09</t>
  </si>
  <si>
    <t>Online</t>
  </si>
  <si>
    <t>Americas</t>
  </si>
  <si>
    <t>Brazil</t>
  </si>
  <si>
    <t>ORD-10005</t>
  </si>
  <si>
    <t>ORD-10007</t>
  </si>
  <si>
    <t>S-04</t>
  </si>
  <si>
    <t>Retail</t>
  </si>
  <si>
    <t>Mexico</t>
  </si>
  <si>
    <t>ORD-10010</t>
  </si>
  <si>
    <t>S-05</t>
  </si>
  <si>
    <t>Partner</t>
  </si>
  <si>
    <t>United States</t>
  </si>
  <si>
    <t>ORD-10011</t>
  </si>
  <si>
    <t>ORD-10014</t>
  </si>
  <si>
    <t>ORD-10025</t>
  </si>
  <si>
    <t>ORD-10026</t>
  </si>
  <si>
    <t>ORD-10027</t>
  </si>
  <si>
    <t>ORD-10028</t>
  </si>
  <si>
    <t>ORD-10029</t>
  </si>
  <si>
    <t>ORD-10032</t>
  </si>
  <si>
    <t>ORD-10035</t>
  </si>
  <si>
    <t>ORD-10036</t>
  </si>
  <si>
    <t>ORD-10037</t>
  </si>
  <si>
    <t>ORD-10039</t>
  </si>
  <si>
    <t>ORD-10041</t>
  </si>
  <si>
    <t>ORD-10046</t>
  </si>
  <si>
    <t>ORD-10049</t>
  </si>
  <si>
    <t>ORD-10052</t>
  </si>
  <si>
    <t>ORD-10053</t>
  </si>
  <si>
    <t>ORD-10055</t>
  </si>
  <si>
    <t>ORD-10056</t>
  </si>
  <si>
    <t>ORD-10057</t>
  </si>
  <si>
    <t>S-10</t>
  </si>
  <si>
    <t>Canada</t>
  </si>
  <si>
    <t>ORD-10058</t>
  </si>
  <si>
    <t>ORD-10060</t>
  </si>
  <si>
    <t>ORD-10062</t>
  </si>
  <si>
    <t>ORD-10063</t>
  </si>
  <si>
    <t>ORD-10064</t>
  </si>
  <si>
    <t>ORD-10065</t>
  </si>
  <si>
    <t>ORD-10067</t>
  </si>
  <si>
    <t>ORD-10068</t>
  </si>
  <si>
    <t>ORD-10074</t>
  </si>
  <si>
    <t>ORD-10075</t>
  </si>
  <si>
    <t>ORD-10080</t>
  </si>
  <si>
    <t>ORD-10082</t>
  </si>
  <si>
    <t>ORD-10085</t>
  </si>
  <si>
    <t>ORD-10093</t>
  </si>
  <si>
    <t>ORD-10094</t>
  </si>
  <si>
    <t>ORD-10096</t>
  </si>
  <si>
    <t>ORD-10102</t>
  </si>
  <si>
    <t>ORD-10103</t>
  </si>
  <si>
    <t>ORD-10104</t>
  </si>
  <si>
    <t>ORD-10107</t>
  </si>
  <si>
    <t>ORD-10114</t>
  </si>
  <si>
    <t>ORD-10117</t>
  </si>
  <si>
    <t>ORD-10119</t>
  </si>
  <si>
    <t>ORD-10123</t>
  </si>
  <si>
    <t>ORD-10126</t>
  </si>
  <si>
    <t>ORD-10128</t>
  </si>
  <si>
    <t>ORD-10129</t>
  </si>
  <si>
    <t>ORD-10130</t>
  </si>
  <si>
    <t>ORD-10134</t>
  </si>
  <si>
    <t>ORD-10135</t>
  </si>
  <si>
    <t>ORD-10136</t>
  </si>
  <si>
    <t>ORD-10139</t>
  </si>
  <si>
    <t>ORD-10140</t>
  </si>
  <si>
    <t>ORD-10143</t>
  </si>
  <si>
    <t>ORD-10144</t>
  </si>
  <si>
    <t>ORD-10145</t>
  </si>
  <si>
    <t>ORD-10147</t>
  </si>
  <si>
    <t>ORD-10148</t>
  </si>
  <si>
    <t>ORD-10154</t>
  </si>
  <si>
    <t>ORD-10155</t>
  </si>
  <si>
    <t>ORD-10158</t>
  </si>
  <si>
    <t>ORD-10159</t>
  </si>
  <si>
    <t>ORD-10162</t>
  </si>
  <si>
    <t>ORD-10163</t>
  </si>
  <si>
    <t>ORD-10166</t>
  </si>
  <si>
    <t>ORD-10167</t>
  </si>
  <si>
    <t>ORD-10169</t>
  </si>
  <si>
    <t>ORD-10170</t>
  </si>
  <si>
    <t>ORD-10171</t>
  </si>
  <si>
    <t>ORD-10178</t>
  </si>
  <si>
    <t>ORD-10182</t>
  </si>
  <si>
    <t>ORD-10184</t>
  </si>
  <si>
    <t>ORD-10186</t>
  </si>
  <si>
    <t>ORD-10187</t>
  </si>
  <si>
    <t>ORD-10188</t>
  </si>
  <si>
    <t>ORD-10190</t>
  </si>
  <si>
    <t>ORD-10191</t>
  </si>
  <si>
    <t>ORD-10196</t>
  </si>
  <si>
    <t>ORD-10199</t>
  </si>
  <si>
    <t>ORD-10001</t>
  </si>
  <si>
    <t>S-02</t>
  </si>
  <si>
    <t>EMEA</t>
  </si>
  <si>
    <t>Portugal</t>
  </si>
  <si>
    <t>ORD-10003</t>
  </si>
  <si>
    <t>S-07</t>
  </si>
  <si>
    <t>Kenya</t>
  </si>
  <si>
    <t>ORD-10008</t>
  </si>
  <si>
    <t>ORD-10012</t>
  </si>
  <si>
    <t>ORD-10016</t>
  </si>
  <si>
    <t>ORD-10017</t>
  </si>
  <si>
    <t>S-06</t>
  </si>
  <si>
    <t>United Arab Emirates</t>
  </si>
  <si>
    <t>ORD-10018</t>
  </si>
  <si>
    <t>ORD-10021</t>
  </si>
  <si>
    <t>ORD-10024</t>
  </si>
  <si>
    <t>ORD-10030</t>
  </si>
  <si>
    <t>ORD-10031</t>
  </si>
  <si>
    <t>ORD-10038</t>
  </si>
  <si>
    <t>ORD-10040</t>
  </si>
  <si>
    <t>ORD-10044</t>
  </si>
  <si>
    <t>ORD-10045</t>
  </si>
  <si>
    <t>ORD-10047</t>
  </si>
  <si>
    <t>ORD-10050</t>
  </si>
  <si>
    <t>ORD-10054</t>
  </si>
  <si>
    <t>S-01</t>
  </si>
  <si>
    <t>United Kingdom</t>
  </si>
  <si>
    <t>ORD-10059</t>
  </si>
  <si>
    <t>ORD-10066</t>
  </si>
  <si>
    <t>ORD-10069</t>
  </si>
  <si>
    <t>ORD-10071</t>
  </si>
  <si>
    <t>ORD-10077</t>
  </si>
  <si>
    <t>ORD-10081</t>
  </si>
  <si>
    <t>ORD-10083</t>
  </si>
  <si>
    <t>ORD-10084</t>
  </si>
  <si>
    <t>ORD-10086</t>
  </si>
  <si>
    <t>ORD-10087</t>
  </si>
  <si>
    <t>ORD-10088</t>
  </si>
  <si>
    <t>ORD-10089</t>
  </si>
  <si>
    <t>ORD-10092</t>
  </si>
  <si>
    <t>ORD-10095</t>
  </si>
  <si>
    <t>ORD-10097</t>
  </si>
  <si>
    <t>ORD-10098</t>
  </si>
  <si>
    <t>ORD-10099</t>
  </si>
  <si>
    <t>ORD-10100</t>
  </si>
  <si>
    <t>ORD-10108</t>
  </si>
  <si>
    <t>ORD-10110</t>
  </si>
  <si>
    <t>ORD-10111</t>
  </si>
  <si>
    <t>ORD-10112</t>
  </si>
  <si>
    <t>ORD-10113</t>
  </si>
  <si>
    <t>ORD-10115</t>
  </si>
  <si>
    <t>ORD-10120</t>
  </si>
  <si>
    <t>ORD-10121</t>
  </si>
  <si>
    <t>ORD-10122</t>
  </si>
  <si>
    <t>ORD-10124</t>
  </si>
  <si>
    <t>ORD-10127</t>
  </si>
  <si>
    <t>ORD-10131</t>
  </si>
  <si>
    <t>ORD-10132</t>
  </si>
  <si>
    <t>ORD-10137</t>
  </si>
  <si>
    <t>ORD-10138</t>
  </si>
  <si>
    <t>ORD-10142</t>
  </si>
  <si>
    <t>ORD-10146</t>
  </si>
  <si>
    <t>ORD-10149</t>
  </si>
  <si>
    <t>ORD-10150</t>
  </si>
  <si>
    <t>ORD-10156</t>
  </si>
  <si>
    <t>ORD-10157</t>
  </si>
  <si>
    <t>ORD-10164</t>
  </si>
  <si>
    <t>ORD-10168</t>
  </si>
  <si>
    <t>ORD-10172</t>
  </si>
  <si>
    <t>ORD-10173</t>
  </si>
  <si>
    <t>ORD-10174</t>
  </si>
  <si>
    <t>ORD-10175</t>
  </si>
  <si>
    <t>ORD-10176</t>
  </si>
  <si>
    <t>ORD-10177</t>
  </si>
  <si>
    <t>ORD-10181</t>
  </si>
  <si>
    <t>ORD-10183</t>
  </si>
  <si>
    <t>ORD-10192</t>
  </si>
  <si>
    <t>ORD-10195</t>
  </si>
  <si>
    <t>ORD-10197</t>
  </si>
  <si>
    <t>ORD-10200</t>
  </si>
  <si>
    <t>ORD-10002</t>
  </si>
  <si>
    <t>S-03</t>
  </si>
  <si>
    <t>APAC</t>
  </si>
  <si>
    <t>Singapore</t>
  </si>
  <si>
    <t>ORD-10006</t>
  </si>
  <si>
    <t>ORD-10009</t>
  </si>
  <si>
    <t>S-08</t>
  </si>
  <si>
    <t>Japan</t>
  </si>
  <si>
    <t>ORD-10013</t>
  </si>
  <si>
    <t>ORD-10015</t>
  </si>
  <si>
    <t>ORD-10019</t>
  </si>
  <si>
    <t>ORD-10020</t>
  </si>
  <si>
    <t>ORD-10022</t>
  </si>
  <si>
    <t>ORD-10023</t>
  </si>
  <si>
    <t>ORD-10033</t>
  </si>
  <si>
    <t>ORD-10034</t>
  </si>
  <si>
    <t>ORD-10042</t>
  </si>
  <si>
    <t>ORD-10043</t>
  </si>
  <si>
    <t>ORD-10048</t>
  </si>
  <si>
    <t>ORD-10051</t>
  </si>
  <si>
    <t>ORD-10061</t>
  </si>
  <si>
    <t>ORD-10070</t>
  </si>
  <si>
    <t>ORD-10072</t>
  </si>
  <si>
    <t>ORD-10073</t>
  </si>
  <si>
    <t>ORD-10076</t>
  </si>
  <si>
    <t>ORD-10078</t>
  </si>
  <si>
    <t>ORD-10079</t>
  </si>
  <si>
    <t>ORD-10090</t>
  </si>
  <si>
    <t>ORD-10091</t>
  </si>
  <si>
    <t>ORD-10101</t>
  </si>
  <si>
    <t>ORD-10105</t>
  </si>
  <si>
    <t>ORD-10106</t>
  </si>
  <si>
    <t>ORD-10109</t>
  </si>
  <si>
    <t>ORD-10116</t>
  </si>
  <si>
    <t>ORD-10118</t>
  </si>
  <si>
    <t>ORD-10125</t>
  </si>
  <si>
    <t>ORD-10133</t>
  </si>
  <si>
    <t>ORD-10141</t>
  </si>
  <si>
    <t>ORD-10151</t>
  </si>
  <si>
    <t>ORD-10152</t>
  </si>
  <si>
    <t>ORD-10153</t>
  </si>
  <si>
    <t>ORD-10160</t>
  </si>
  <si>
    <t>ORD-10161</t>
  </si>
  <si>
    <t>ORD-10165</t>
  </si>
  <si>
    <t>ORD-10179</t>
  </si>
  <si>
    <t>ORD-10180</t>
  </si>
  <si>
    <t>ORD-10185</t>
  </si>
  <si>
    <t>ORD-10189</t>
  </si>
  <si>
    <t>ORD-10193</t>
  </si>
  <si>
    <t>ORD-10194</t>
  </si>
  <si>
    <t>ORD-10198</t>
  </si>
  <si>
    <t>Salesperson</t>
  </si>
  <si>
    <t>Aisha Khan</t>
  </si>
  <si>
    <t>Bruno Costa</t>
  </si>
  <si>
    <t>Chen Wei</t>
  </si>
  <si>
    <t>Diana Lopez</t>
  </si>
  <si>
    <t>Ethan Brooks</t>
  </si>
  <si>
    <t>Fatima Noor</t>
  </si>
  <si>
    <t>Grace Mwangi</t>
  </si>
  <si>
    <t>Hiro Tanaka</t>
  </si>
  <si>
    <t>Isabela Rocha</t>
  </si>
  <si>
    <t>Jamal Edwards</t>
  </si>
  <si>
    <t>Discount</t>
  </si>
  <si>
    <t>Revenue</t>
  </si>
  <si>
    <t>Commission</t>
  </si>
  <si>
    <t>Profit</t>
  </si>
  <si>
    <t>ProfitMargin</t>
  </si>
  <si>
    <t>Row Labels</t>
  </si>
  <si>
    <t>Grand Total</t>
  </si>
  <si>
    <t>Sum of Revenue</t>
  </si>
  <si>
    <t>Sum of Commission</t>
  </si>
  <si>
    <t>OrderDate (Month Index)</t>
  </si>
  <si>
    <t>OrderDate (Month)</t>
  </si>
  <si>
    <t>Apr</t>
  </si>
  <si>
    <t>Nov</t>
  </si>
  <si>
    <t>Mar</t>
  </si>
  <si>
    <t>Oct</t>
  </si>
  <si>
    <t>Jun</t>
  </si>
  <si>
    <t>Sep</t>
  </si>
  <si>
    <t>Dec</t>
  </si>
  <si>
    <t>Feb</t>
  </si>
  <si>
    <t>May</t>
  </si>
  <si>
    <t>Aug</t>
  </si>
  <si>
    <t>Jan</t>
  </si>
  <si>
    <t>Jul</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</si>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</sst>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
  </numFmts>
  <fonts count="3" x14ac:knownFonts="1">
    <font>
      <sz val="11"/>
      <color theme="1"/>
      <name val="Aptos Narrow"/>
      <family val="2"/>
      <scheme val="minor"/>
    </font>
    <font>
      <sz val="8"/>
      <name val="Aptos Narrow"/>
      <family val="2"/>
      <scheme val="minor"/>
    </font>
    <font>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14" fontId="0" fillId="0" borderId="0" xfId="0" applyNumberFormat="1"/>
    <xf numFmtId="164" fontId="0" fillId="0" borderId="0" xfId="0" applyNumberFormat="1"/>
    <xf numFmtId="1" fontId="0" fillId="0" borderId="0" xfId="0" applyNumberFormat="1"/>
    <xf numFmtId="9" fontId="0" fillId="0" borderId="0" xfId="1"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1" xfId="0" applyNumberFormat="1" applyBorder="1"/>
    <xf numFmtId="0" fontId="0" fillId="0" borderId="2" xfId="0" pivotButton="1" applyBorder="1"/>
    <xf numFmtId="0" fontId="0" fillId="0" borderId="3" xfId="0" applyBorder="1"/>
    <xf numFmtId="0" fontId="0" fillId="0" borderId="4" xfId="0" applyBorder="1"/>
    <xf numFmtId="0" fontId="0" fillId="0" borderId="5" xfId="0" applyBorder="1" applyAlignment="1">
      <alignment horizontal="left"/>
    </xf>
    <xf numFmtId="165" fontId="0" fillId="0" borderId="6" xfId="0" applyNumberFormat="1" applyBorder="1"/>
    <xf numFmtId="0" fontId="0" fillId="0" borderId="7" xfId="0" applyBorder="1" applyAlignment="1">
      <alignment horizontal="left"/>
    </xf>
    <xf numFmtId="165" fontId="0" fillId="0" borderId="8" xfId="0" applyNumberFormat="1" applyBorder="1"/>
    <xf numFmtId="165" fontId="0" fillId="0" borderId="9" xfId="0" applyNumberFormat="1" applyBorder="1"/>
  </cellXfs>
  <cellStyles count="2">
    <cellStyle name="Normal" xfId="0" builtinId="0"/>
    <cellStyle name="Percent" xfId="1" builtinId="5"/>
  </cellStyles>
  <dxfs count="2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pivotCacheDefinition" Target="pivotCache/pivotCacheDefinition1.xml"/><Relationship Id="rId15" Type="http://schemas.microsoft.com/office/2017/10/relationships/person" Target="persons/person.xml"/><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[03_sales_data_analysis_DAX.xlsx]analysis_table_chart!PivotTable1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5 Performing Products by Category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analysis_table_chart!$C$3</c:f>
              <c:strCache>
                <c:ptCount val="1"/>
                <c:pt idx="0">
                  <c:v>Total</c:v>
                </c:pt>
              </c:strCache>
            </c:strRef>
          </c:tx>
          <c:spPr>
            <a:solidFill>
              <a:schemeClr val="accent1"/>
            </a:solidFill>
            <a:ln>
              <a:noFill/>
            </a:ln>
            <a:effectLst/>
          </c:spPr>
          <c:invertIfNegative val="0"/>
          <c:cat>
            <c:strRef>
              <c:f>analysis_table_chart!$B$4:$B$9</c:f>
              <c:strCache>
                <c:ptCount val="5"/>
                <c:pt idx="0">
                  <c:v>Gaming Laptop 16</c:v>
                </c:pt>
                <c:pt idx="1">
                  <c:v>Business Laptop 15</c:v>
                </c:pt>
                <c:pt idx="2">
                  <c:v>Ultrabook 14</c:v>
                </c:pt>
                <c:pt idx="3">
                  <c:v>34in Ultrawide</c:v>
                </c:pt>
                <c:pt idx="4">
                  <c:v>27in Monitor</c:v>
                </c:pt>
              </c:strCache>
            </c:strRef>
          </c:cat>
          <c:val>
            <c:numRef>
              <c:f>analysis_table_chart!$C$4:$C$9</c:f>
              <c:numCache>
                <c:formatCode>\$#,##0;\(\$#,##0\);\$#,##0</c:formatCode>
                <c:ptCount val="5"/>
                <c:pt idx="0">
                  <c:v>421925</c:v>
                </c:pt>
                <c:pt idx="1">
                  <c:v>199762.5</c:v>
                </c:pt>
                <c:pt idx="2">
                  <c:v>146797.5</c:v>
                </c:pt>
                <c:pt idx="3">
                  <c:v>74464</c:v>
                </c:pt>
                <c:pt idx="4">
                  <c:v>44040</c:v>
                </c:pt>
              </c:numCache>
            </c:numRef>
          </c:val>
          <c:extLst>
            <c:ext xmlns:c16="http://schemas.microsoft.com/office/drawing/2014/chart" uri="{C3380CC4-5D6E-409C-BE32-E72D297353CC}">
              <c16:uniqueId val="{00000000-D3B6-464D-ADA8-7B55EB516570}"/>
            </c:ext>
          </c:extLst>
        </c:ser>
        <c:dLbls>
          <c:showLegendKey val="0"/>
          <c:showVal val="0"/>
          <c:showCatName val="0"/>
          <c:showSerName val="0"/>
          <c:showPercent val="0"/>
          <c:showBubbleSize val="0"/>
        </c:dLbls>
        <c:gapWidth val="219"/>
        <c:overlap val="-27"/>
        <c:axId val="1899059759"/>
        <c:axId val="1899057359"/>
      </c:barChart>
      <c:catAx>
        <c:axId val="189905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57359"/>
        <c:crosses val="autoZero"/>
        <c:auto val="1"/>
        <c:lblAlgn val="ctr"/>
        <c:lblOffset val="100"/>
        <c:noMultiLvlLbl val="0"/>
      </c:catAx>
      <c:valAx>
        <c:axId val="1899057359"/>
        <c:scaling>
          <c:orientation val="minMax"/>
        </c:scaling>
        <c:delete val="0"/>
        <c:axPos val="l"/>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5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[03_sales_data_analysis_DAX.xlsx]analysis_table_chart!PivotTable3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Commission</a:t>
            </a:r>
            <a:r>
              <a:rPr lang="en-US" b="1" baseline="0">
                <a:solidFill>
                  <a:sysClr val="windowText" lastClr="000000"/>
                </a:solidFill>
              </a:rPr>
              <a:t> Earn By SalePerson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analysis_table_chart!$J$3</c:f>
              <c:strCache>
                <c:ptCount val="1"/>
                <c:pt idx="0">
                  <c:v>Total</c:v>
                </c:pt>
              </c:strCache>
            </c:strRef>
          </c:tx>
          <c:spPr>
            <a:solidFill>
              <a:schemeClr val="accent1"/>
            </a:solidFill>
            <a:ln>
              <a:noFill/>
            </a:ln>
            <a:effectLst/>
          </c:spPr>
          <c:invertIfNegative val="0"/>
          <c:cat>
            <c:strRef>
              <c:f>analysis_table_chart!$I$4:$I$14</c:f>
              <c:strCache>
                <c:ptCount val="10"/>
                <c:pt idx="0">
                  <c:v>Fatima Noor</c:v>
                </c:pt>
                <c:pt idx="1">
                  <c:v>Aisha Khan</c:v>
                </c:pt>
                <c:pt idx="2">
                  <c:v>Jamal Edwards</c:v>
                </c:pt>
                <c:pt idx="3">
                  <c:v>Isabela Rocha</c:v>
                </c:pt>
                <c:pt idx="4">
                  <c:v>Hiro Tanaka</c:v>
                </c:pt>
                <c:pt idx="5">
                  <c:v>Chen Wei</c:v>
                </c:pt>
                <c:pt idx="6">
                  <c:v>Diana Lopez</c:v>
                </c:pt>
                <c:pt idx="7">
                  <c:v>Grace Mwangi</c:v>
                </c:pt>
                <c:pt idx="8">
                  <c:v>Bruno Costa</c:v>
                </c:pt>
                <c:pt idx="9">
                  <c:v>Ethan Brooks</c:v>
                </c:pt>
              </c:strCache>
            </c:strRef>
          </c:cat>
          <c:val>
            <c:numRef>
              <c:f>analysis_table_chart!$J$4:$J$14</c:f>
              <c:numCache>
                <c:formatCode>\$#,##0;\(\$#,##0\);\$#,##0</c:formatCode>
                <c:ptCount val="10"/>
                <c:pt idx="0">
                  <c:v>1891.18</c:v>
                </c:pt>
                <c:pt idx="1">
                  <c:v>2772.94</c:v>
                </c:pt>
                <c:pt idx="2">
                  <c:v>3238.91</c:v>
                </c:pt>
                <c:pt idx="3">
                  <c:v>3271.63</c:v>
                </c:pt>
                <c:pt idx="4">
                  <c:v>3765.8180000000002</c:v>
                </c:pt>
                <c:pt idx="5">
                  <c:v>4556.5010000000002</c:v>
                </c:pt>
                <c:pt idx="6">
                  <c:v>5748.32</c:v>
                </c:pt>
                <c:pt idx="7">
                  <c:v>6393.692</c:v>
                </c:pt>
                <c:pt idx="8">
                  <c:v>6543.09</c:v>
                </c:pt>
                <c:pt idx="9">
                  <c:v>10039.39</c:v>
                </c:pt>
              </c:numCache>
            </c:numRef>
          </c:val>
          <c:extLst>
            <c:ext xmlns:c16="http://schemas.microsoft.com/office/drawing/2014/chart" uri="{C3380CC4-5D6E-409C-BE32-E72D297353CC}">
              <c16:uniqueId val="{00000000-6737-4B4B-B51C-262F7622A8DA}"/>
            </c:ext>
          </c:extLst>
        </c:ser>
        <c:dLbls>
          <c:showLegendKey val="0"/>
          <c:showVal val="0"/>
          <c:showCatName val="0"/>
          <c:showSerName val="0"/>
          <c:showPercent val="0"/>
          <c:showBubbleSize val="0"/>
        </c:dLbls>
        <c:gapWidth val="182"/>
        <c:axId val="946594176"/>
        <c:axId val="946590336"/>
      </c:barChart>
      <c:catAx>
        <c:axId val="94659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590336"/>
        <c:crosses val="autoZero"/>
        <c:auto val="1"/>
        <c:lblAlgn val="ctr"/>
        <c:lblOffset val="100"/>
        <c:noMultiLvlLbl val="0"/>
      </c:catAx>
      <c:valAx>
        <c:axId val="94659033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59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[03_sales_data_analysis_DAX.xlsx]analysis_table_chart!PivotTable4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Revenue and Profit Performance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analysis_table_chart!$J$17</c:f>
              <c:strCache>
                <c:ptCount val="1"/>
                <c:pt idx="0">
                  <c:v>Sum of Revenue</c:v>
                </c:pt>
              </c:strCache>
            </c:strRef>
          </c:tx>
          <c:spPr>
            <a:solidFill>
              <a:schemeClr val="accent1"/>
            </a:solidFill>
            <a:ln>
              <a:noFill/>
            </a:ln>
            <a:effectLst/>
          </c:spPr>
          <c:invertIfNegative val="0"/>
          <c:cat>
            <c:strRef>
              <c:f>analysis_table_chart!$I$18:$I$30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analysis_table_chart!$J$18:$J$30</c:f>
              <c:numCache>
                <c:formatCode>\$#,##0;\(\$#,##0\);\$#,##0</c:formatCode>
                <c:ptCount val="12"/>
                <c:pt idx="0">
                  <c:v>112180.75</c:v>
                </c:pt>
                <c:pt idx="1">
                  <c:v>52908</c:v>
                </c:pt>
                <c:pt idx="2">
                  <c:v>52328.25</c:v>
                </c:pt>
                <c:pt idx="3">
                  <c:v>74487.75</c:v>
                </c:pt>
                <c:pt idx="4">
                  <c:v>45134.1</c:v>
                </c:pt>
                <c:pt idx="5">
                  <c:v>71242.75</c:v>
                </c:pt>
                <c:pt idx="6">
                  <c:v>105739.1</c:v>
                </c:pt>
                <c:pt idx="7">
                  <c:v>174436.25</c:v>
                </c:pt>
                <c:pt idx="8">
                  <c:v>68721.5</c:v>
                </c:pt>
                <c:pt idx="9">
                  <c:v>93092.75</c:v>
                </c:pt>
                <c:pt idx="10">
                  <c:v>60250.1</c:v>
                </c:pt>
                <c:pt idx="11">
                  <c:v>148317.25</c:v>
                </c:pt>
              </c:numCache>
            </c:numRef>
          </c:val>
          <c:extLst>
            <c:ext xmlns:c16="http://schemas.microsoft.com/office/drawing/2014/chart" uri="{C3380CC4-5D6E-409C-BE32-E72D297353CC}">
              <c16:uniqueId val="{00000000-6715-4175-BF55-7A6F13C223D3}"/>
            </c:ext>
          </c:extLst>
        </c:ser>
        <c:dLbls>
          <c:showLegendKey val="0"/>
          <c:showVal val="0"/>
          <c:showCatName val="0"/>
          <c:showSerName val="0"/>
          <c:showPercent val="0"/>
          <c:showBubbleSize val="0"/>
        </c:dLbls>
        <c:gapWidth val="219"/>
        <c:overlap val="-27"/>
        <c:axId val="946631616"/>
        <c:axId val="946632096"/>
      </c:barChart>
      <c:lineChart>
        <c:grouping val="standard"/>
        <c:varyColors val="0"/>
        <c:ser>
          <c:idx val="1"/>
          <c:order val="1"/>
          <c:tx>
            <c:strRef>
              <c:f>analysis_table_chart!$K$17</c:f>
              <c:strCache>
                <c:ptCount val="1"/>
                <c:pt idx="0">
                  <c:v>Sum of Profit</c:v>
                </c:pt>
              </c:strCache>
            </c:strRef>
          </c:tx>
          <c:spPr>
            <a:ln w="28575" cap="rnd">
              <a:solidFill>
                <a:schemeClr val="accent2"/>
              </a:solidFill>
              <a:round/>
            </a:ln>
            <a:effectLst/>
          </c:spPr>
          <c:marker>
            <c:symbol val="none"/>
          </c:marker>
          <c:cat>
            <c:strRef>
              <c:f>analysis_table_chart!$I$18:$I$30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analysis_table_chart!$K$18:$K$30</c:f>
              <c:numCache>
                <c:formatCode>\$#,##0;\(\$#,##0\);\$#,##0</c:formatCode>
                <c:ptCount val="12"/>
                <c:pt idx="0">
                  <c:v>18652.75</c:v>
                </c:pt>
                <c:pt idx="1">
                  <c:v>12892</c:v>
                </c:pt>
                <c:pt idx="2">
                  <c:v>12839.25</c:v>
                </c:pt>
                <c:pt idx="3">
                  <c:v>16465.75</c:v>
                </c:pt>
                <c:pt idx="4">
                  <c:v>10180.1</c:v>
                </c:pt>
                <c:pt idx="5">
                  <c:v>15985.75</c:v>
                </c:pt>
                <c:pt idx="6">
                  <c:v>16231.1</c:v>
                </c:pt>
                <c:pt idx="7">
                  <c:v>28034.25</c:v>
                </c:pt>
                <c:pt idx="8">
                  <c:v>12113.5</c:v>
                </c:pt>
                <c:pt idx="9">
                  <c:v>21795.75</c:v>
                </c:pt>
                <c:pt idx="10">
                  <c:v>14141.1</c:v>
                </c:pt>
                <c:pt idx="11">
                  <c:v>28559.25</c:v>
                </c:pt>
              </c:numCache>
            </c:numRef>
          </c:val>
          <c:smooth val="0"/>
          <c:extLst>
            <c:ext xmlns:c16="http://schemas.microsoft.com/office/drawing/2014/chart" uri="{C3380CC4-5D6E-409C-BE32-E72D297353CC}">
              <c16:uniqueId val="{00000001-6715-4175-BF55-7A6F13C223D3}"/>
            </c:ext>
          </c:extLst>
        </c:ser>
        <c:dLbls>
          <c:showLegendKey val="0"/>
          <c:showVal val="0"/>
          <c:showCatName val="0"/>
          <c:showSerName val="0"/>
          <c:showPercent val="0"/>
          <c:showBubbleSize val="0"/>
        </c:dLbls>
        <c:marker val="1"/>
        <c:smooth val="0"/>
        <c:axId val="466938624"/>
        <c:axId val="466937664"/>
      </c:lineChart>
      <c:catAx>
        <c:axId val="94663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32096"/>
        <c:crosses val="autoZero"/>
        <c:auto val="1"/>
        <c:lblAlgn val="ctr"/>
        <c:lblOffset val="100"/>
        <c:noMultiLvlLbl val="0"/>
      </c:catAx>
      <c:valAx>
        <c:axId val="9466320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Sum</a:t>
                </a:r>
                <a:r>
                  <a:rPr lang="en-US" baseline="0">
                    <a:solidFill>
                      <a:sysClr val="windowText" lastClr="000000"/>
                    </a:solidFill>
                  </a:rPr>
                  <a:t> Of Revenue</a:t>
                </a:r>
                <a:endParaRPr lang="en-US">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31616"/>
        <c:crosses val="autoZero"/>
        <c:crossBetween val="between"/>
      </c:valAx>
      <c:valAx>
        <c:axId val="46693766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Sum Of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938624"/>
        <c:crosses val="max"/>
        <c:crossBetween val="between"/>
      </c:valAx>
      <c:catAx>
        <c:axId val="466938624"/>
        <c:scaling>
          <c:orientation val="minMax"/>
        </c:scaling>
        <c:delete val="1"/>
        <c:axPos val="b"/>
        <c:numFmt formatCode="General" sourceLinked="1"/>
        <c:majorTickMark val="out"/>
        <c:minorTickMark val="none"/>
        <c:tickLblPos val="nextTo"/>
        <c:crossAx val="46693766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23814</xdr:colOff>
      <xdr:row>12</xdr:row>
      <xdr:rowOff>28575</xdr:rowOff>
    </xdr:from>
    <xdr:to>
      <xdr:col>5</xdr:col>
      <xdr:colOff>590551</xdr:colOff>
      <xdr:row>24</xdr:row>
      <xdr:rowOff>71438</xdr:rowOff>
    </xdr:to>
    <xdr:graphicFrame macro="">
      <xdr:nvGraphicFramePr>
        <xdr:cNvPr id="2" name="Chart 1">
          <a:extLst>
            <a:ext uri="{FF2B5EF4-FFF2-40B4-BE49-F238E27FC236}">
              <a16:creationId xmlns:a16="http://schemas.microsoft.com/office/drawing/2014/main" id="{45F9AFA0-C42E-D87A-6916-306954173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314325</xdr:colOff>
      <xdr:row>0</xdr:row>
      <xdr:rowOff>161926</xdr:rowOff>
    </xdr:from>
    <xdr:to>
      <xdr:col>5</xdr:col>
      <xdr:colOff>519112</xdr:colOff>
      <xdr:row>10</xdr:row>
      <xdr:rowOff>80964</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A05D2A2B-2008-FA05-E375-CBC6683E4EA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248025" y="161926"/>
              <a:ext cx="1828800" cy="1747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10</xdr:col>
      <xdr:colOff>59531</xdr:colOff>
      <xdr:row>2</xdr:row>
      <xdr:rowOff>0</xdr:rowOff>
    </xdr:from>
    <xdr:to>
      <xdr:col>15</xdr:col>
      <xdr:colOff>280988</xdr:colOff>
      <xdr:row>14</xdr:row>
      <xdr:rowOff>4763</xdr:rowOff>
    </xdr:to>
    <xdr:graphicFrame macro="">
      <xdr:nvGraphicFramePr>
        <xdr:cNvPr id="4" name="Chart 3">
          <a:extLst>
            <a:ext uri="{FF2B5EF4-FFF2-40B4-BE49-F238E27FC236}">
              <a16:creationId xmlns:a16="http://schemas.microsoft.com/office/drawing/2014/main" id="{A9D39BF6-8122-B98C-4FF1-194766F73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473867</xdr:colOff>
      <xdr:row>16</xdr:row>
      <xdr:rowOff>9525</xdr:rowOff>
    </xdr:from>
    <xdr:to>
      <xdr:col>17</xdr:col>
      <xdr:colOff>404812</xdr:colOff>
      <xdr:row>29</xdr:row>
      <xdr:rowOff>157163</xdr:rowOff>
    </xdr:to>
    <xdr:graphicFrame macro="">
      <xdr:nvGraphicFramePr>
        <xdr:cNvPr id="7" name="Chart 6">
          <a:extLst>
            <a:ext uri="{FF2B5EF4-FFF2-40B4-BE49-F238E27FC236}">
              <a16:creationId xmlns:a16="http://schemas.microsoft.com/office/drawing/2014/main" id="{14434CEA-AE7D-0DD8-BC10-68CBFE50C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restha" refreshedDate="46197.454017824071" createdVersion="8" refreshedVersion="8" minRefreshableVersion="3" recordCount="0" supportSubquery="1" supportAdvancedDrill="1" xr:uid="{DB1CB51B-A77D-4E7C-9274-54263046C8BB}">
  <cacheSource type="external" connectionId="7"/>
  <cacheFields count="4">
    <cacheField name="[01_salespeople].[Salesperson].[Salesperson]" caption="Salesperson" numFmtId="0" hierarchy="20" level="1">
      <sharedItems count="10">
        <s v="Aisha Khan"/>
        <s v="Bruno Costa"/>
        <s v="Chen Wei"/>
        <s v="Diana Lopez"/>
        <s v="Ethan Brooks"/>
        <s v="Fatima Noor"/>
        <s v="Grace Mwangi"/>
        <s v="Hiro Tanaka"/>
        <s v="Isabela Rocha"/>
        <s v="Jamal Edwards"/>
      </sharedItems>
    </cacheField>
    <cacheField name="[Measures].[Sum of Revenue 2]" caption="Sum of Revenue 2" numFmtId="0" hierarchy="29" level="32767"/>
    <cacheField name="[01_sales].[OrderDate (Month)].[OrderDate (Month)]" caption="OrderDate (Month)" numFmtId="0" hierarchy="18" level="1">
      <sharedItems count="12">
        <s v="Jan"/>
        <s v="Feb"/>
        <s v="Mar"/>
        <s v="Apr"/>
        <s v="May"/>
        <s v="Jun"/>
        <s v="Jul"/>
        <s v="Aug"/>
        <s v="Sep"/>
        <s v="Oct"/>
        <s v="Nov"/>
        <s v="Dec"/>
      </sharedItems>
    </cacheField>
    <cacheField name="[Measures].[Sum of Profit]" caption="Sum of Profit" numFmtId="0" hierarchy="31" level="32767"/>
  </cacheFields>
  <cacheHierarchies count="32">
    <cacheHierarchy uniqueName="[01_products].[ProductID]" caption="ProductID" attribute="1" defaultMemberUniqueName="[01_products].[ProductID].[All]" allUniqueName="[01_products].[ProductID].[All]" dimensionUniqueName="[01_products]" displayFolder="" count="0" memberValueDatatype="130" unbalanced="0"/>
    <cacheHierarchy uniqueName="[01_products].[Product]" caption="Product" attribute="1" defaultMemberUniqueName="[01_products].[Product].[All]" allUniqueName="[01_products].[Product].[All]" dimensionUniqueName="[01_products]" displayFolder="" count="0" memberValueDatatype="130" unbalanced="0"/>
    <cacheHierarchy uniqueName="[01_products].[Category]" caption="Category" attribute="1" defaultMemberUniqueName="[01_products].[Category].[All]" allUniqueName="[01_products].[Category].[All]" dimensionUniqueName="[01_products]" displayFolder="" count="0" memberValueDatatype="130" unbalanced="0"/>
    <cacheHierarchy uniqueName="[01_products].[UnitPrice]" caption="UnitPrice" attribute="1" defaultMemberUniqueName="[01_products].[UnitPrice].[All]" allUniqueName="[01_products].[UnitPrice].[All]" dimensionUniqueName="[01_products]" displayFolder="" count="0" memberValueDatatype="20" unbalanced="0"/>
    <cacheHierarchy uniqueName="[01_products].[UnitCost]" caption="UnitCost" attribute="1" defaultMemberUniqueName="[01_products].[UnitCost].[All]" allUniqueName="[01_products].[UnitCost].[All]" dimensionUniqueName="[01_products]" displayFolder="" count="0" memberValueDatatype="20" unbalanced="0"/>
    <cacheHierarchy uniqueName="[01_sales].[OrderID]" caption="OrderID" attribute="1" defaultMemberUniqueName="[01_sales].[OrderID].[All]" allUniqueName="[01_sales].[OrderID].[All]" dimensionUniqueName="[01_sales]" displayFolder="" count="0" memberValueDatatype="130" unbalanced="0"/>
    <cacheHierarchy uniqueName="[01_sales].[OrderDate]" caption="OrderDate" attribute="1" time="1" defaultMemberUniqueName="[01_sales].[OrderDate].[All]" allUniqueName="[01_sales].[OrderDate].[All]" dimensionUniqueName="[01_sales]" displayFolder="" count="2" memberValueDatatype="7" unbalanced="0"/>
    <cacheHierarchy uniqueName="[01_sales].[SalespersonID]" caption="SalespersonID" attribute="1" defaultMemberUniqueName="[01_sales].[SalespersonID].[All]" allUniqueName="[01_sales].[SalespersonID].[All]" dimensionUniqueName="[01_sales]" displayFolder="" count="0" memberValueDatatype="130" unbalanced="0"/>
    <cacheHierarchy uniqueName="[01_sales].[ProductID]" caption="ProductID" attribute="1" defaultMemberUniqueName="[01_sales].[ProductID].[All]" allUniqueName="[01_sales].[ProductID].[All]" dimensionUniqueName="[01_sales]" displayFolder="" count="0" memberValueDatatype="130" unbalanced="0"/>
    <cacheHierarchy uniqueName="[01_sales].[Channel]" caption="Channel" attribute="1" defaultMemberUniqueName="[01_sales].[Channel].[All]" allUniqueName="[01_sales].[Channel].[All]" dimensionUniqueName="[01_sales]" displayFolder="" count="0" memberValueDatatype="130" unbalanced="0"/>
    <cacheHierarchy uniqueName="[01_sales].[Region]" caption="Region" attribute="1" defaultMemberUniqueName="[01_sales].[Region].[All]" allUniqueName="[01_sales].[Region].[All]" dimensionUniqueName="[01_sales]" displayFolder="" count="0" memberValueDatatype="130" unbalanced="0"/>
    <cacheHierarchy uniqueName="[01_sales].[Country]" caption="Country" attribute="1" defaultMemberUniqueName="[01_sales].[Country].[All]" allUniqueName="[01_sales].[Country].[All]" dimensionUniqueName="[01_sales]" displayFolder="" count="0" memberValueDatatype="130" unbalanced="0"/>
    <cacheHierarchy uniqueName="[01_sales].[Quantity]" caption="Quantity" attribute="1" defaultMemberUniqueName="[01_sales].[Quantity].[All]" allUniqueName="[01_sales].[Quantity].[All]" dimensionUniqueName="[01_sales]" displayFolder="" count="0" memberValueDatatype="20" unbalanced="0"/>
    <cacheHierarchy uniqueName="[01_sales].[Discount]" caption="Discount" attribute="1" defaultMemberUniqueName="[01_sales].[Discount].[All]" allUniqueName="[01_sales].[Discount].[All]" dimensionUniqueName="[01_sales]" displayFolder="" count="0" memberValueDatatype="5" unbalanced="0"/>
    <cacheHierarchy uniqueName="[01_sales].[Revenue]" caption="Revenue" attribute="1" defaultMemberUniqueName="[01_sales].[Revenue].[All]" allUniqueName="[01_sales].[Revenue].[All]" dimensionUniqueName="[01_sales]" displayFolder="" count="0" memberValueDatatype="6" unbalanced="0"/>
    <cacheHierarchy uniqueName="[01_sales].[Commission]" caption="Commission" attribute="1" defaultMemberUniqueName="[01_sales].[Commission].[All]" allUniqueName="[01_sales].[Commission].[All]" dimensionUniqueName="[01_sales]" displayFolder="" count="0" memberValueDatatype="6" unbalanced="0"/>
    <cacheHierarchy uniqueName="[01_sales].[Profit]" caption="Profit" attribute="1" defaultMemberUniqueName="[01_sales].[Profit].[All]" allUniqueName="[01_sales].[Profit].[All]" dimensionUniqueName="[01_sales]" displayFolder="" count="0" memberValueDatatype="6" unbalanced="0"/>
    <cacheHierarchy uniqueName="[01_sales].[ProfitMargin]" caption="ProfitMargin" attribute="1" defaultMemberUniqueName="[01_sales].[ProfitMargin].[All]" allUniqueName="[01_sales].[ProfitMargin].[All]" dimensionUniqueName="[01_sales]" displayFolder="" count="0" memberValueDatatype="5" unbalanced="0"/>
    <cacheHierarchy uniqueName="[01_sales].[OrderDate (Month)]" caption="OrderDate (Month)" attribute="1" defaultMemberUniqueName="[01_sales].[OrderDate (Month)].[All]" allUniqueName="[01_sales].[OrderDate (Month)].[All]" dimensionUniqueName="[01_sales]" displayFolder="" count="2" memberValueDatatype="130" unbalanced="0">
      <fieldsUsage count="2">
        <fieldUsage x="-1"/>
        <fieldUsage x="2"/>
      </fieldsUsage>
    </cacheHierarchy>
    <cacheHierarchy uniqueName="[01_salespeople].[SalespersonID]" caption="SalespersonID" attribute="1" defaultMemberUniqueName="[01_salespeople].[SalespersonID].[All]" allUniqueName="[01_salespeople].[SalespersonID].[All]" dimensionUniqueName="[01_salespeople]" displayFolder="" count="0" memberValueDatatype="130" unbalanced="0"/>
    <cacheHierarchy uniqueName="[01_salespeople].[Salesperson]" caption="Salesperson" attribute="1" defaultMemberUniqueName="[01_salespeople].[Salesperson].[All]" allUniqueName="[01_salespeople].[Salesperson].[All]" dimensionUniqueName="[01_salespeople]" displayFolder="" count="2" memberValueDatatype="130" unbalanced="0">
      <fieldsUsage count="2">
        <fieldUsage x="-1"/>
        <fieldUsage x="0"/>
      </fieldsUsage>
    </cacheHierarchy>
    <cacheHierarchy uniqueName="[01_salespeople].[Region]" caption="Region" attribute="1" defaultMemberUniqueName="[01_salespeople].[Region].[All]" allUniqueName="[01_salespeople].[Region].[All]" dimensionUniqueName="[01_salespeople]" displayFolder="" count="0" memberValueDatatype="130" unbalanced="0"/>
    <cacheHierarchy uniqueName="[01_salespeople].[Country]" caption="Country" attribute="1" defaultMemberUniqueName="[01_salespeople].[Country].[All]" allUniqueName="[01_salespeople].[Country].[All]" dimensionUniqueName="[01_salespeople]" displayFolder="" count="0" memberValueDatatype="130" unbalanced="0"/>
    <cacheHierarchy uniqueName="[01_sales].[OrderDate (Month Index)]" caption="OrderDate (Month Index)" attribute="1" defaultMemberUniqueName="[01_sales].[OrderDate (Month Index)].[All]" allUniqueName="[01_sales].[OrderDate (Month Index)].[All]" dimensionUniqueName="[01_sales]" displayFolder="" count="0" memberValueDatatype="20" unbalanced="0" hidden="1"/>
    <cacheHierarchy uniqueName="[Measures].[Sum of Revenue]" caption="Sum of Revenue" measure="1" displayFolder="" measureGroup="01_sales" count="0"/>
    <cacheHierarchy uniqueName="[Measures].[__XL_Count 01_products]" caption="__XL_Count 01_products" measure="1" displayFolder="" measureGroup="01_products" count="0" hidden="1"/>
    <cacheHierarchy uniqueName="[Measures].[__XL_Count 01_sales]" caption="__XL_Count 01_sales" measure="1" displayFolder="" measureGroup="01_sales" count="0" hidden="1"/>
    <cacheHierarchy uniqueName="[Measures].[__XL_Count 01_salespeople]" caption="__XL_Count 01_salespeople" measure="1" displayFolder="" measureGroup="01_salespeople" count="0" hidden="1"/>
    <cacheHierarchy uniqueName="[Measures].[__No measures defined]" caption="__No measures defined" measure="1" displayFolder="" count="0" hidden="1"/>
    <cacheHierarchy uniqueName="[Measures].[Sum of Revenue 2]" caption="Sum of Revenue 2" measure="1" displayFolder="" measureGroup="01_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mmission]" caption="Sum of Commission" measure="1" displayFolder="" measureGroup="01_sale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01_sales" count="0" oneField="1" hidden="1">
      <fieldsUsage count="1">
        <fieldUsage x="3"/>
      </fieldsUsage>
      <extLst>
        <ext xmlns:x15="http://schemas.microsoft.com/office/spreadsheetml/2010/11/main" uri="{B97F6D7D-B522-45F9-BDA1-12C45D357490}">
          <x15:cacheHierarchy aggregatedColumn="16"/>
        </ext>
      </extLst>
    </cacheHierarchy>
  </cacheHierarchies>
  <kpis count="0"/>
  <dimensions count="4">
    <dimension name="01_products" uniqueName="[01_products]" caption="01_products"/>
    <dimension name="01_sales" uniqueName="[01_sales]" caption="01_sales"/>
    <dimension name="01_salespeople" uniqueName="[01_salespeople]" caption="01_salespeople"/>
    <dimension measure="1" name="Measures" uniqueName="[Measures]" caption="Measures"/>
  </dimensions>
  <measureGroups count="3">
    <measureGroup name="01_products" caption="01_products"/>
    <measureGroup name="01_sales" caption="01_sales"/>
    <measureGroup name="01_salespeople" caption="01_salespeop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restha" refreshedDate="46197.454099768518" createdVersion="8" refreshedVersion="8" minRefreshableVersion="3" recordCount="0" supportSubquery="1" supportAdvancedDrill="1" xr:uid="{03EB31F5-356D-4ED3-A12B-85B64C06E9DD}">
  <cacheSource type="external" connectionId="7"/>
  <cacheFields count="2">
    <cacheField name="[01_salespeople].[Salesperson].[Salesperson]" caption="Salesperson" numFmtId="0" hierarchy="20" level="1">
      <sharedItems count="10">
        <s v="Aisha Khan"/>
        <s v="Bruno Costa"/>
        <s v="Chen Wei"/>
        <s v="Diana Lopez"/>
        <s v="Ethan Brooks"/>
        <s v="Fatima Noor"/>
        <s v="Grace Mwangi"/>
        <s v="Hiro Tanaka"/>
        <s v="Isabela Rocha"/>
        <s v="Jamal Edwards"/>
      </sharedItems>
    </cacheField>
    <cacheField name="[Measures].[Sum of Commission]" caption="Sum of Commission" numFmtId="0" hierarchy="30" level="32767"/>
  </cacheFields>
  <cacheHierarchies count="32">
    <cacheHierarchy uniqueName="[01_products].[ProductID]" caption="ProductID" attribute="1" defaultMemberUniqueName="[01_products].[ProductID].[All]" allUniqueName="[01_products].[ProductID].[All]" dimensionUniqueName="[01_products]" displayFolder="" count="0" memberValueDatatype="130" unbalanced="0"/>
    <cacheHierarchy uniqueName="[01_products].[Product]" caption="Product" attribute="1" defaultMemberUniqueName="[01_products].[Product].[All]" allUniqueName="[01_products].[Product].[All]" dimensionUniqueName="[01_products]" displayFolder="" count="0" memberValueDatatype="130" unbalanced="0"/>
    <cacheHierarchy uniqueName="[01_products].[Category]" caption="Category" attribute="1" defaultMemberUniqueName="[01_products].[Category].[All]" allUniqueName="[01_products].[Category].[All]" dimensionUniqueName="[01_products]" displayFolder="" count="0" memberValueDatatype="130" unbalanced="0"/>
    <cacheHierarchy uniqueName="[01_products].[UnitPrice]" caption="UnitPrice" attribute="1" defaultMemberUniqueName="[01_products].[UnitPrice].[All]" allUniqueName="[01_products].[UnitPrice].[All]" dimensionUniqueName="[01_products]" displayFolder="" count="0" memberValueDatatype="20" unbalanced="0"/>
    <cacheHierarchy uniqueName="[01_products].[UnitCost]" caption="UnitCost" attribute="1" defaultMemberUniqueName="[01_products].[UnitCost].[All]" allUniqueName="[01_products].[UnitCost].[All]" dimensionUniqueName="[01_products]" displayFolder="" count="0" memberValueDatatype="20" unbalanced="0"/>
    <cacheHierarchy uniqueName="[01_sales].[OrderID]" caption="OrderID" attribute="1" defaultMemberUniqueName="[01_sales].[OrderID].[All]" allUniqueName="[01_sales].[OrderID].[All]" dimensionUniqueName="[01_sales]" displayFolder="" count="0" memberValueDatatype="130" unbalanced="0"/>
    <cacheHierarchy uniqueName="[01_sales].[OrderDate]" caption="OrderDate" attribute="1" time="1" defaultMemberUniqueName="[01_sales].[OrderDate].[All]" allUniqueName="[01_sales].[OrderDate].[All]" dimensionUniqueName="[01_sales]" displayFolder="" count="0" memberValueDatatype="7" unbalanced="0"/>
    <cacheHierarchy uniqueName="[01_sales].[SalespersonID]" caption="SalespersonID" attribute="1" defaultMemberUniqueName="[01_sales].[SalespersonID].[All]" allUniqueName="[01_sales].[SalespersonID].[All]" dimensionUniqueName="[01_sales]" displayFolder="" count="0" memberValueDatatype="130" unbalanced="0"/>
    <cacheHierarchy uniqueName="[01_sales].[ProductID]" caption="ProductID" attribute="1" defaultMemberUniqueName="[01_sales].[ProductID].[All]" allUniqueName="[01_sales].[ProductID].[All]" dimensionUniqueName="[01_sales]" displayFolder="" count="0" memberValueDatatype="130" unbalanced="0"/>
    <cacheHierarchy uniqueName="[01_sales].[Channel]" caption="Channel" attribute="1" defaultMemberUniqueName="[01_sales].[Channel].[All]" allUniqueName="[01_sales].[Channel].[All]" dimensionUniqueName="[01_sales]" displayFolder="" count="0" memberValueDatatype="130" unbalanced="0"/>
    <cacheHierarchy uniqueName="[01_sales].[Region]" caption="Region" attribute="1" defaultMemberUniqueName="[01_sales].[Region].[All]" allUniqueName="[01_sales].[Region].[All]" dimensionUniqueName="[01_sales]" displayFolder="" count="0" memberValueDatatype="130" unbalanced="0"/>
    <cacheHierarchy uniqueName="[01_sales].[Country]" caption="Country" attribute="1" defaultMemberUniqueName="[01_sales].[Country].[All]" allUniqueName="[01_sales].[Country].[All]" dimensionUniqueName="[01_sales]" displayFolder="" count="0" memberValueDatatype="130" unbalanced="0"/>
    <cacheHierarchy uniqueName="[01_sales].[Quantity]" caption="Quantity" attribute="1" defaultMemberUniqueName="[01_sales].[Quantity].[All]" allUniqueName="[01_sales].[Quantity].[All]" dimensionUniqueName="[01_sales]" displayFolder="" count="0" memberValueDatatype="20" unbalanced="0"/>
    <cacheHierarchy uniqueName="[01_sales].[Discount]" caption="Discount" attribute="1" defaultMemberUniqueName="[01_sales].[Discount].[All]" allUniqueName="[01_sales].[Discount].[All]" dimensionUniqueName="[01_sales]" displayFolder="" count="0" memberValueDatatype="5" unbalanced="0"/>
    <cacheHierarchy uniqueName="[01_sales].[Revenue]" caption="Revenue" attribute="1" defaultMemberUniqueName="[01_sales].[Revenue].[All]" allUniqueName="[01_sales].[Revenue].[All]" dimensionUniqueName="[01_sales]" displayFolder="" count="0" memberValueDatatype="6" unbalanced="0"/>
    <cacheHierarchy uniqueName="[01_sales].[Commission]" caption="Commission" attribute="1" defaultMemberUniqueName="[01_sales].[Commission].[All]" allUniqueName="[01_sales].[Commission].[All]" dimensionUniqueName="[01_sales]" displayFolder="" count="0" memberValueDatatype="6" unbalanced="0"/>
    <cacheHierarchy uniqueName="[01_sales].[Profit]" caption="Profit" attribute="1" defaultMemberUniqueName="[01_sales].[Profit].[All]" allUniqueName="[01_sales].[Profit].[All]" dimensionUniqueName="[01_sales]" displayFolder="" count="0" memberValueDatatype="6" unbalanced="0"/>
    <cacheHierarchy uniqueName="[01_sales].[ProfitMargin]" caption="ProfitMargin" attribute="1" defaultMemberUniqueName="[01_sales].[ProfitMargin].[All]" allUniqueName="[01_sales].[ProfitMargin].[All]" dimensionUniqueName="[01_sales]" displayFolder="" count="0" memberValueDatatype="5" unbalanced="0"/>
    <cacheHierarchy uniqueName="[01_sales].[OrderDate (Month)]" caption="OrderDate (Month)" attribute="1" defaultMemberUniqueName="[01_sales].[OrderDate (Month)].[All]" allUniqueName="[01_sales].[OrderDate (Month)].[All]" dimensionUniqueName="[01_sales]" displayFolder="" count="0" memberValueDatatype="130" unbalanced="0"/>
    <cacheHierarchy uniqueName="[01_salespeople].[SalespersonID]" caption="SalespersonID" attribute="1" defaultMemberUniqueName="[01_salespeople].[SalespersonID].[All]" allUniqueName="[01_salespeople].[SalespersonID].[All]" dimensionUniqueName="[01_salespeople]" displayFolder="" count="0" memberValueDatatype="130" unbalanced="0"/>
    <cacheHierarchy uniqueName="[01_salespeople].[Salesperson]" caption="Salesperson" attribute="1" defaultMemberUniqueName="[01_salespeople].[Salesperson].[All]" allUniqueName="[01_salespeople].[Salesperson].[All]" dimensionUniqueName="[01_salespeople]" displayFolder="" count="2" memberValueDatatype="130" unbalanced="0">
      <fieldsUsage count="2">
        <fieldUsage x="-1"/>
        <fieldUsage x="0"/>
      </fieldsUsage>
    </cacheHierarchy>
    <cacheHierarchy uniqueName="[01_salespeople].[Region]" caption="Region" attribute="1" defaultMemberUniqueName="[01_salespeople].[Region].[All]" allUniqueName="[01_salespeople].[Region].[All]" dimensionUniqueName="[01_salespeople]" displayFolder="" count="0" memberValueDatatype="130" unbalanced="0"/>
    <cacheHierarchy uniqueName="[01_salespeople].[Country]" caption="Country" attribute="1" defaultMemberUniqueName="[01_salespeople].[Country].[All]" allUniqueName="[01_salespeople].[Country].[All]" dimensionUniqueName="[01_salespeople]" displayFolder="" count="0" memberValueDatatype="130" unbalanced="0"/>
    <cacheHierarchy uniqueName="[01_sales].[OrderDate (Month Index)]" caption="OrderDate (Month Index)" attribute="1" defaultMemberUniqueName="[01_sales].[OrderDate (Month Index)].[All]" allUniqueName="[01_sales].[OrderDate (Month Index)].[All]" dimensionUniqueName="[01_sales]" displayFolder="" count="0" memberValueDatatype="20" unbalanced="0" hidden="1"/>
    <cacheHierarchy uniqueName="[Measures].[Sum of Revenue]" caption="Sum of Revenue" measure="1" displayFolder="" measureGroup="01_sales" count="0"/>
    <cacheHierarchy uniqueName="[Measures].[__XL_Count 01_products]" caption="__XL_Count 01_products" measure="1" displayFolder="" measureGroup="01_products" count="0" hidden="1"/>
    <cacheHierarchy uniqueName="[Measures].[__XL_Count 01_sales]" caption="__XL_Count 01_sales" measure="1" displayFolder="" measureGroup="01_sales" count="0" hidden="1"/>
    <cacheHierarchy uniqueName="[Measures].[__XL_Count 01_salespeople]" caption="__XL_Count 01_salespeople" measure="1" displayFolder="" measureGroup="01_salespeople" count="0" hidden="1"/>
    <cacheHierarchy uniqueName="[Measures].[__No measures defined]" caption="__No measures defined" measure="1" displayFolder="" count="0" hidden="1"/>
    <cacheHierarchy uniqueName="[Measures].[Sum of Revenue 2]" caption="Sum of Revenue 2" measure="1" displayFolder="" measureGroup="01_sales" count="0" hidden="1">
      <extLst>
        <ext xmlns:x15="http://schemas.microsoft.com/office/spreadsheetml/2010/11/main" uri="{B97F6D7D-B522-45F9-BDA1-12C45D357490}">
          <x15:cacheHierarchy aggregatedColumn="14"/>
        </ext>
      </extLst>
    </cacheHierarchy>
    <cacheHierarchy uniqueName="[Measures].[Sum of Commission]" caption="Sum of Commission" measure="1" displayFolder="" measureGroup="01_sale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01_sales" count="0" hidden="1">
      <extLst>
        <ext xmlns:x15="http://schemas.microsoft.com/office/spreadsheetml/2010/11/main" uri="{B97F6D7D-B522-45F9-BDA1-12C45D357490}">
          <x15:cacheHierarchy aggregatedColumn="16"/>
        </ext>
      </extLst>
    </cacheHierarchy>
  </cacheHierarchies>
  <kpis count="0"/>
  <dimensions count="4">
    <dimension name="01_products" uniqueName="[01_products]" caption="01_products"/>
    <dimension name="01_sales" uniqueName="[01_sales]" caption="01_sales"/>
    <dimension name="01_salespeople" uniqueName="[01_salespeople]" caption="01_salespeople"/>
    <dimension measure="1" name="Measures" uniqueName="[Measures]" caption="Measures"/>
  </dimensions>
  <measureGroups count="3">
    <measureGroup name="01_products" caption="01_products"/>
    <measureGroup name="01_sales" caption="01_sales"/>
    <measureGroup name="01_salespeople" caption="01_salespeop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restha" refreshedDate="46197.46093252315" createdVersion="5" refreshedVersion="8" minRefreshableVersion="3" recordCount="0" supportSubquery="1" supportAdvancedDrill="1" xr:uid="{BEBAD562-015B-4068-BFE4-ABEDBE98C80B}">
  <cacheSource type="external" connectionId="7"/>
  <cacheFields count="3">
    <cacheField name="[01_products].[Product].[Product]" caption="Product" numFmtId="0" hierarchy="1" level="1">
      <sharedItems count="5">
        <s v="27in Monitor"/>
        <s v="34in Ultrawide"/>
        <s v="Business Laptop 15"/>
        <s v="Gaming Laptop 16"/>
        <s v="Ultrabook 14"/>
      </sharedItems>
    </cacheField>
    <cacheField name="[Measures].[Sum of Revenue 2]" caption="Sum of Revenue 2" numFmtId="0" hierarchy="29" level="32767"/>
    <cacheField name="[01_products].[Category].[Category]" caption="Category" numFmtId="0" hierarchy="2" level="1">
      <sharedItems containsSemiMixedTypes="0" containsNonDate="0" containsString="0"/>
    </cacheField>
  </cacheFields>
  <cacheHierarchies count="32">
    <cacheHierarchy uniqueName="[01_products].[ProductID]" caption="ProductID" attribute="1" defaultMemberUniqueName="[01_products].[ProductID].[All]" allUniqueName="[01_products].[ProductID].[All]" dimensionUniqueName="[01_products]" displayFolder="" count="0" memberValueDatatype="130" unbalanced="0"/>
    <cacheHierarchy uniqueName="[01_products].[Product]" caption="Product" attribute="1" defaultMemberUniqueName="[01_products].[Product].[All]" allUniqueName="[01_products].[Product].[All]" dimensionUniqueName="[01_products]" displayFolder="" count="2" memberValueDatatype="130" unbalanced="0">
      <fieldsUsage count="2">
        <fieldUsage x="-1"/>
        <fieldUsage x="0"/>
      </fieldsUsage>
    </cacheHierarchy>
    <cacheHierarchy uniqueName="[01_products].[Category]" caption="Category" attribute="1" defaultMemberUniqueName="[01_products].[Category].[All]" allUniqueName="[01_products].[Category].[All]" dimensionUniqueName="[01_products]" displayFolder="" count="2" memberValueDatatype="130" unbalanced="0">
      <fieldsUsage count="2">
        <fieldUsage x="-1"/>
        <fieldUsage x="2"/>
      </fieldsUsage>
    </cacheHierarchy>
    <cacheHierarchy uniqueName="[01_products].[UnitPrice]" caption="UnitPrice" attribute="1" defaultMemberUniqueName="[01_products].[UnitPrice].[All]" allUniqueName="[01_products].[UnitPrice].[All]" dimensionUniqueName="[01_products]" displayFolder="" count="0" memberValueDatatype="20" unbalanced="0"/>
    <cacheHierarchy uniqueName="[01_products].[UnitCost]" caption="UnitCost" attribute="1" defaultMemberUniqueName="[01_products].[UnitCost].[All]" allUniqueName="[01_products].[UnitCost].[All]" dimensionUniqueName="[01_products]" displayFolder="" count="0" memberValueDatatype="20" unbalanced="0"/>
    <cacheHierarchy uniqueName="[01_sales].[OrderID]" caption="OrderID" attribute="1" defaultMemberUniqueName="[01_sales].[OrderID].[All]" allUniqueName="[01_sales].[OrderID].[All]" dimensionUniqueName="[01_sales]" displayFolder="" count="0" memberValueDatatype="130" unbalanced="0"/>
    <cacheHierarchy uniqueName="[01_sales].[OrderDate]" caption="OrderDate" attribute="1" time="1" defaultMemberUniqueName="[01_sales].[OrderDate].[All]" allUniqueName="[01_sales].[OrderDate].[All]" dimensionUniqueName="[01_sales]" displayFolder="" count="0" memberValueDatatype="7" unbalanced="0"/>
    <cacheHierarchy uniqueName="[01_sales].[SalespersonID]" caption="SalespersonID" attribute="1" defaultMemberUniqueName="[01_sales].[SalespersonID].[All]" allUniqueName="[01_sales].[SalespersonID].[All]" dimensionUniqueName="[01_sales]" displayFolder="" count="0" memberValueDatatype="130" unbalanced="0"/>
    <cacheHierarchy uniqueName="[01_sales].[ProductID]" caption="ProductID" attribute="1" defaultMemberUniqueName="[01_sales].[ProductID].[All]" allUniqueName="[01_sales].[ProductID].[All]" dimensionUniqueName="[01_sales]" displayFolder="" count="0" memberValueDatatype="130" unbalanced="0"/>
    <cacheHierarchy uniqueName="[01_sales].[Channel]" caption="Channel" attribute="1" defaultMemberUniqueName="[01_sales].[Channel].[All]" allUniqueName="[01_sales].[Channel].[All]" dimensionUniqueName="[01_sales]" displayFolder="" count="0" memberValueDatatype="130" unbalanced="0"/>
    <cacheHierarchy uniqueName="[01_sales].[Region]" caption="Region" attribute="1" defaultMemberUniqueName="[01_sales].[Region].[All]" allUniqueName="[01_sales].[Region].[All]" dimensionUniqueName="[01_sales]" displayFolder="" count="0" memberValueDatatype="130" unbalanced="0"/>
    <cacheHierarchy uniqueName="[01_sales].[Country]" caption="Country" attribute="1" defaultMemberUniqueName="[01_sales].[Country].[All]" allUniqueName="[01_sales].[Country].[All]" dimensionUniqueName="[01_sales]" displayFolder="" count="0" memberValueDatatype="130" unbalanced="0"/>
    <cacheHierarchy uniqueName="[01_sales].[Quantity]" caption="Quantity" attribute="1" defaultMemberUniqueName="[01_sales].[Quantity].[All]" allUniqueName="[01_sales].[Quantity].[All]" dimensionUniqueName="[01_sales]" displayFolder="" count="0" memberValueDatatype="20" unbalanced="0"/>
    <cacheHierarchy uniqueName="[01_sales].[Discount]" caption="Discount" attribute="1" defaultMemberUniqueName="[01_sales].[Discount].[All]" allUniqueName="[01_sales].[Discount].[All]" dimensionUniqueName="[01_sales]" displayFolder="" count="0" memberValueDatatype="5" unbalanced="0"/>
    <cacheHierarchy uniqueName="[01_sales].[Revenue]" caption="Revenue" attribute="1" defaultMemberUniqueName="[01_sales].[Revenue].[All]" allUniqueName="[01_sales].[Revenue].[All]" dimensionUniqueName="[01_sales]" displayFolder="" count="0" memberValueDatatype="6" unbalanced="0"/>
    <cacheHierarchy uniqueName="[01_sales].[Commission]" caption="Commission" attribute="1" defaultMemberUniqueName="[01_sales].[Commission].[All]" allUniqueName="[01_sales].[Commission].[All]" dimensionUniqueName="[01_sales]" displayFolder="" count="0" memberValueDatatype="6" unbalanced="0"/>
    <cacheHierarchy uniqueName="[01_sales].[Profit]" caption="Profit" attribute="1" defaultMemberUniqueName="[01_sales].[Profit].[All]" allUniqueName="[01_sales].[Profit].[All]" dimensionUniqueName="[01_sales]" displayFolder="" count="0" memberValueDatatype="6" unbalanced="0"/>
    <cacheHierarchy uniqueName="[01_sales].[ProfitMargin]" caption="ProfitMargin" attribute="1" defaultMemberUniqueName="[01_sales].[ProfitMargin].[All]" allUniqueName="[01_sales].[ProfitMargin].[All]" dimensionUniqueName="[01_sales]" displayFolder="" count="0" memberValueDatatype="5" unbalanced="0"/>
    <cacheHierarchy uniqueName="[01_sales].[OrderDate (Month)]" caption="OrderDate (Month)" attribute="1" defaultMemberUniqueName="[01_sales].[OrderDate (Month)].[All]" allUniqueName="[01_sales].[OrderDate (Month)].[All]" dimensionUniqueName="[01_sales]" displayFolder="" count="0" memberValueDatatype="130" unbalanced="0"/>
    <cacheHierarchy uniqueName="[01_salespeople].[SalespersonID]" caption="SalespersonID" attribute="1" defaultMemberUniqueName="[01_salespeople].[SalespersonID].[All]" allUniqueName="[01_salespeople].[SalespersonID].[All]" dimensionUniqueName="[01_salespeople]" displayFolder="" count="0" memberValueDatatype="130" unbalanced="0"/>
    <cacheHierarchy uniqueName="[01_salespeople].[Salesperson]" caption="Salesperson" attribute="1" defaultMemberUniqueName="[01_salespeople].[Salesperson].[All]" allUniqueName="[01_salespeople].[Salesperson].[All]" dimensionUniqueName="[01_salespeople]" displayFolder="" count="0" memberValueDatatype="130" unbalanced="0"/>
    <cacheHierarchy uniqueName="[01_salespeople].[Region]" caption="Region" attribute="1" defaultMemberUniqueName="[01_salespeople].[Region].[All]" allUniqueName="[01_salespeople].[Region].[All]" dimensionUniqueName="[01_salespeople]" displayFolder="" count="0" memberValueDatatype="130" unbalanced="0"/>
    <cacheHierarchy uniqueName="[01_salespeople].[Country]" caption="Country" attribute="1" defaultMemberUniqueName="[01_salespeople].[Country].[All]" allUniqueName="[01_salespeople].[Country].[All]" dimensionUniqueName="[01_salespeople]" displayFolder="" count="0" memberValueDatatype="130" unbalanced="0"/>
    <cacheHierarchy uniqueName="[01_sales].[OrderDate (Month Index)]" caption="OrderDate (Month Index)" attribute="1" defaultMemberUniqueName="[01_sales].[OrderDate (Month Index)].[All]" allUniqueName="[01_sales].[OrderDate (Month Index)].[All]" dimensionUniqueName="[01_sales]" displayFolder="" count="0" memberValueDatatype="20" unbalanced="0" hidden="1"/>
    <cacheHierarchy uniqueName="[Measures].[Sum of Revenue]" caption="Sum of Revenue" measure="1" displayFolder="" measureGroup="01_sales" count="0"/>
    <cacheHierarchy uniqueName="[Measures].[__XL_Count 01_products]" caption="__XL_Count 01_products" measure="1" displayFolder="" measureGroup="01_products" count="0" hidden="1"/>
    <cacheHierarchy uniqueName="[Measures].[__XL_Count 01_sales]" caption="__XL_Count 01_sales" measure="1" displayFolder="" measureGroup="01_sales" count="0" hidden="1"/>
    <cacheHierarchy uniqueName="[Measures].[__XL_Count 01_salespeople]" caption="__XL_Count 01_salespeople" measure="1" displayFolder="" measureGroup="01_salespeople" count="0" hidden="1"/>
    <cacheHierarchy uniqueName="[Measures].[__No measures defined]" caption="__No measures defined" measure="1" displayFolder="" count="0" hidden="1"/>
    <cacheHierarchy uniqueName="[Measures].[Sum of Revenue 2]" caption="Sum of Revenue 2" measure="1" displayFolder="" measureGroup="01_sale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mmission]" caption="Sum of Commission" measure="1" displayFolder="" measureGroup="01_sale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01_sales" count="0" hidden="1">
      <extLst>
        <ext xmlns:x15="http://schemas.microsoft.com/office/spreadsheetml/2010/11/main" uri="{B97F6D7D-B522-45F9-BDA1-12C45D357490}">
          <x15:cacheHierarchy aggregatedColumn="16"/>
        </ext>
      </extLst>
    </cacheHierarchy>
  </cacheHierarchies>
  <kpis count="0"/>
  <dimensions count="4">
    <dimension name="01_products" uniqueName="[01_products]" caption="01_products"/>
    <dimension name="01_sales" uniqueName="[01_sales]" caption="01_sales"/>
    <dimension name="01_salespeople" uniqueName="[01_salespeople]" caption="01_salespeople"/>
    <dimension measure="1" name="Measures" uniqueName="[Measures]" caption="Measures"/>
  </dimensions>
  <measureGroups count="3">
    <measureGroup name="01_products" caption="01_products"/>
    <measureGroup name="01_sales" caption="01_sales"/>
    <measureGroup name="01_salespeople" caption="01_salespeop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restha" refreshedDate="46197.441345370367" createdVersion="3" refreshedVersion="8" minRefreshableVersion="3" recordCount="0" supportSubquery="1" supportAdvancedDrill="1" xr:uid="{EDD8E9CC-ECA6-472F-845B-750DAC40752F}">
  <cacheSource type="external" connectionId="7">
    <extLst>
      <ext xmlns:x14="http://schemas.microsoft.com/office/spreadsheetml/2009/9/main" uri="{F057638F-6D5F-4e77-A914-E7F072B9BCA8}">
        <x14:sourceConnection name="ThisWorkbookDataModel"/>
      </ext>
    </extLst>
  </cacheSource>
  <cacheFields count="0"/>
  <cacheHierarchies count="31">
    <cacheHierarchy uniqueName="[01_products].[ProductID]" caption="ProductID" attribute="1" defaultMemberUniqueName="[01_products].[ProductID].[All]" allUniqueName="[01_products].[ProductID].[All]" dimensionUniqueName="[01_products]" displayFolder="" count="0" memberValueDatatype="130" unbalanced="0"/>
    <cacheHierarchy uniqueName="[01_products].[Product]" caption="Product" attribute="1" defaultMemberUniqueName="[01_products].[Product].[All]" allUniqueName="[01_products].[Product].[All]" dimensionUniqueName="[01_products]" displayFolder="" count="0" memberValueDatatype="130" unbalanced="0"/>
    <cacheHierarchy uniqueName="[01_products].[Category]" caption="Category" attribute="1" defaultMemberUniqueName="[01_products].[Category].[All]" allUniqueName="[01_products].[Category].[All]" dimensionUniqueName="[01_products]" displayFolder="" count="2" memberValueDatatype="130" unbalanced="0"/>
    <cacheHierarchy uniqueName="[01_products].[UnitPrice]" caption="UnitPrice" attribute="1" defaultMemberUniqueName="[01_products].[UnitPrice].[All]" allUniqueName="[01_products].[UnitPrice].[All]" dimensionUniqueName="[01_products]" displayFolder="" count="0" memberValueDatatype="20" unbalanced="0"/>
    <cacheHierarchy uniqueName="[01_products].[UnitCost]" caption="UnitCost" attribute="1" defaultMemberUniqueName="[01_products].[UnitCost].[All]" allUniqueName="[01_products].[UnitCost].[All]" dimensionUniqueName="[01_products]" displayFolder="" count="0" memberValueDatatype="20" unbalanced="0"/>
    <cacheHierarchy uniqueName="[01_sales].[OrderID]" caption="OrderID" attribute="1" defaultMemberUniqueName="[01_sales].[OrderID].[All]" allUniqueName="[01_sales].[OrderID].[All]" dimensionUniqueName="[01_sales]" displayFolder="" count="0" memberValueDatatype="130" unbalanced="0"/>
    <cacheHierarchy uniqueName="[01_sales].[OrderDate]" caption="OrderDate" attribute="1" time="1" defaultMemberUniqueName="[01_sales].[OrderDate].[All]" allUniqueName="[01_sales].[OrderDate].[All]" dimensionUniqueName="[01_sales]" displayFolder="" count="0" memberValueDatatype="7" unbalanced="0"/>
    <cacheHierarchy uniqueName="[01_sales].[SalespersonID]" caption="SalespersonID" attribute="1" defaultMemberUniqueName="[01_sales].[SalespersonID].[All]" allUniqueName="[01_sales].[SalespersonID].[All]" dimensionUniqueName="[01_sales]" displayFolder="" count="0" memberValueDatatype="130" unbalanced="0"/>
    <cacheHierarchy uniqueName="[01_sales].[ProductID]" caption="ProductID" attribute="1" defaultMemberUniqueName="[01_sales].[ProductID].[All]" allUniqueName="[01_sales].[ProductID].[All]" dimensionUniqueName="[01_sales]" displayFolder="" count="0" memberValueDatatype="130" unbalanced="0"/>
    <cacheHierarchy uniqueName="[01_sales].[Channel]" caption="Channel" attribute="1" defaultMemberUniqueName="[01_sales].[Channel].[All]" allUniqueName="[01_sales].[Channel].[All]" dimensionUniqueName="[01_sales]" displayFolder="" count="0" memberValueDatatype="130" unbalanced="0"/>
    <cacheHierarchy uniqueName="[01_sales].[Region]" caption="Region" attribute="1" defaultMemberUniqueName="[01_sales].[Region].[All]" allUniqueName="[01_sales].[Region].[All]" dimensionUniqueName="[01_sales]" displayFolder="" count="0" memberValueDatatype="130" unbalanced="0"/>
    <cacheHierarchy uniqueName="[01_sales].[Country]" caption="Country" attribute="1" defaultMemberUniqueName="[01_sales].[Country].[All]" allUniqueName="[01_sales].[Country].[All]" dimensionUniqueName="[01_sales]" displayFolder="" count="0" memberValueDatatype="130" unbalanced="0"/>
    <cacheHierarchy uniqueName="[01_sales].[Quantity]" caption="Quantity" attribute="1" defaultMemberUniqueName="[01_sales].[Quantity].[All]" allUniqueName="[01_sales].[Quantity].[All]" dimensionUniqueName="[01_sales]" displayFolder="" count="0" memberValueDatatype="20" unbalanced="0"/>
    <cacheHierarchy uniqueName="[01_sales].[Discount]" caption="Discount" attribute="1" defaultMemberUniqueName="[01_sales].[Discount].[All]" allUniqueName="[01_sales].[Discount].[All]" dimensionUniqueName="[01_sales]" displayFolder="" count="0" memberValueDatatype="5" unbalanced="0"/>
    <cacheHierarchy uniqueName="[01_sales].[Revenue]" caption="Revenue" attribute="1" defaultMemberUniqueName="[01_sales].[Revenue].[All]" allUniqueName="[01_sales].[Revenue].[All]" dimensionUniqueName="[01_sales]" displayFolder="" count="0" memberValueDatatype="6" unbalanced="0"/>
    <cacheHierarchy uniqueName="[01_sales].[Commission]" caption="Commission" attribute="1" defaultMemberUniqueName="[01_sales].[Commission].[All]" allUniqueName="[01_sales].[Commission].[All]" dimensionUniqueName="[01_sales]" displayFolder="" count="0" memberValueDatatype="6" unbalanced="0"/>
    <cacheHierarchy uniqueName="[01_sales].[Profit]" caption="Profit" attribute="1" defaultMemberUniqueName="[01_sales].[Profit].[All]" allUniqueName="[01_sales].[Profit].[All]" dimensionUniqueName="[01_sales]" displayFolder="" count="0" memberValueDatatype="6" unbalanced="0"/>
    <cacheHierarchy uniqueName="[01_sales].[ProfitMargin]" caption="ProfitMargin" attribute="1" defaultMemberUniqueName="[01_sales].[ProfitMargin].[All]" allUniqueName="[01_sales].[ProfitMargin].[All]" dimensionUniqueName="[01_sales]" displayFolder="" count="0" memberValueDatatype="5" unbalanced="0"/>
    <cacheHierarchy uniqueName="[01_sales].[OrderDate (Month)]" caption="OrderDate (Month)" attribute="1" defaultMemberUniqueName="[01_sales].[OrderDate (Month)].[All]" allUniqueName="[01_sales].[OrderDate (Month)].[All]" dimensionUniqueName="[01_sales]" displayFolder="" count="0" memberValueDatatype="130" unbalanced="0"/>
    <cacheHierarchy uniqueName="[01_salespeople].[SalespersonID]" caption="SalespersonID" attribute="1" defaultMemberUniqueName="[01_salespeople].[SalespersonID].[All]" allUniqueName="[01_salespeople].[SalespersonID].[All]" dimensionUniqueName="[01_salespeople]" displayFolder="" count="0" memberValueDatatype="130" unbalanced="0"/>
    <cacheHierarchy uniqueName="[01_salespeople].[Salesperson]" caption="Salesperson" attribute="1" defaultMemberUniqueName="[01_salespeople].[Salesperson].[All]" allUniqueName="[01_salespeople].[Salesperson].[All]" dimensionUniqueName="[01_salespeople]" displayFolder="" count="0" memberValueDatatype="130" unbalanced="0"/>
    <cacheHierarchy uniqueName="[01_salespeople].[Region]" caption="Region" attribute="1" defaultMemberUniqueName="[01_salespeople].[Region].[All]" allUniqueName="[01_salespeople].[Region].[All]" dimensionUniqueName="[01_salespeople]" displayFolder="" count="0" memberValueDatatype="130" unbalanced="0"/>
    <cacheHierarchy uniqueName="[01_salespeople].[Country]" caption="Country" attribute="1" defaultMemberUniqueName="[01_salespeople].[Country].[All]" allUniqueName="[01_salespeople].[Country].[All]" dimensionUniqueName="[01_salespeople]" displayFolder="" count="0" memberValueDatatype="130" unbalanced="0"/>
    <cacheHierarchy uniqueName="[01_sales].[OrderDate (Month Index)]" caption="OrderDate (Month Index)" attribute="1" defaultMemberUniqueName="[01_sales].[OrderDate (Month Index)].[All]" allUniqueName="[01_sales].[OrderDate (Month Index)].[All]" dimensionUniqueName="[01_sales]" displayFolder="" count="0" memberValueDatatype="20" unbalanced="0" hidden="1"/>
    <cacheHierarchy uniqueName="[Measures].[Sum of Revenue]" caption="Sum of Revenue" measure="1" displayFolder="" measureGroup="01_sales" count="0"/>
    <cacheHierarchy uniqueName="[Measures].[__XL_Count 01_products]" caption="__XL_Count 01_products" measure="1" displayFolder="" measureGroup="01_products" count="0" hidden="1"/>
    <cacheHierarchy uniqueName="[Measures].[__XL_Count 01_sales]" caption="__XL_Count 01_sales" measure="1" displayFolder="" measureGroup="01_sales" count="0" hidden="1"/>
    <cacheHierarchy uniqueName="[Measures].[__XL_Count 01_salespeople]" caption="__XL_Count 01_salespeople" measure="1" displayFolder="" measureGroup="01_salespeople" count="0" hidden="1"/>
    <cacheHierarchy uniqueName="[Measures].[__No measures defined]" caption="__No measures defined" measure="1" displayFolder="" count="0" hidden="1"/>
    <cacheHierarchy uniqueName="[Measures].[Sum of Revenue 2]" caption="Sum of Revenue 2" measure="1" displayFolder="" measureGroup="01_sales" count="0" hidden="1">
      <extLst>
        <ext xmlns:x15="http://schemas.microsoft.com/office/spreadsheetml/2010/11/main" uri="{B97F6D7D-B522-45F9-BDA1-12C45D357490}">
          <x15:cacheHierarchy aggregatedColumn="14"/>
        </ext>
      </extLst>
    </cacheHierarchy>
    <cacheHierarchy uniqueName="[Measures].[Sum of Commission]" caption="Sum of Commission" measure="1" displayFolder="" measureGroup="01_sale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7985564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6AB960-AB64-4259-A945-2BDC174959A5}" name="PivotTable4" cacheId="256" applyNumberFormats="0" applyBorderFormats="0" applyFontFormats="0" applyPatternFormats="0" applyAlignmentFormats="0" applyWidthHeightFormats="1" dataCaption="Values" tag="cb743db8-5fe8-4b3a-b2a6-61d3e0a772f3" updatedVersion="8" minRefreshableVersion="3" itemPrintTitles="1" createdVersion="8" indent="0" outline="1" outlineData="1" multipleFieldFilters="0" chartFormat="6">
  <location ref="I17:K30" firstHeaderRow="0" firstDataRow="1" firstDataCol="1"/>
  <pivotFields count="4">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 baseField="0" baseItem="0"/>
    <dataField name="Sum of Profit" fld="3" baseField="0" baseItem="0"/>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salespeople]"/>
        <x15:activeTabTopLevelEntity name="[01_sales]"/>
        <x15:activeTabTopLevelEntity name="[01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1915AE-9DFA-45B9-97DE-8D34AB4EAE2E}" name="PivotTable3" cacheId="259" applyNumberFormats="0" applyBorderFormats="0" applyFontFormats="0" applyPatternFormats="0" applyAlignmentFormats="0" applyWidthHeightFormats="1" dataCaption="Values" tag="0f6139a6-5a3d-4e2c-99b1-e9f84c0467ba" updatedVersion="8" minRefreshableVersion="3" itemPrintTitles="1" createdVersion="8" indent="0" outline="1" outlineData="1" multipleFieldFilters="0" chartFormat="2">
  <location ref="I3:J14" firstHeaderRow="1" firstDataRow="1" firstDataCol="1"/>
  <pivotFields count="2">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5"/>
    </i>
    <i>
      <x/>
    </i>
    <i>
      <x v="9"/>
    </i>
    <i>
      <x v="8"/>
    </i>
    <i>
      <x v="7"/>
    </i>
    <i>
      <x v="2"/>
    </i>
    <i>
      <x v="3"/>
    </i>
    <i>
      <x v="6"/>
    </i>
    <i>
      <x v="1"/>
    </i>
    <i>
      <x v="4"/>
    </i>
    <i t="grand">
      <x/>
    </i>
  </rowItems>
  <colItems count="1">
    <i/>
  </colItems>
  <dataFields count="1">
    <dataField name="Sum of Commission" fld="1" baseField="0" baseItem="0"/>
  </dataFields>
  <formats count="6">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salespeople]"/>
        <x15:activeTabTopLevelEntity name="[01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FCB6E6-A99C-48D4-B9FC-5B5B5EE37D31}" name="PivotTable1" cacheId="348" applyNumberFormats="0" applyBorderFormats="0" applyFontFormats="0" applyPatternFormats="0" applyAlignmentFormats="0" applyWidthHeightFormats="1" dataCaption="Values" tag="240a2735-f102-4489-9d2e-614530a8a33a" updatedVersion="8" minRefreshableVersion="3" preserveFormatting="0" subtotalHiddenItems="1" itemPrintTitles="1" createdVersion="5" indent="0" outline="1" outlineData="1" multipleFieldFilters="0" chartFormat="2">
  <location ref="B3:C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4"/>
    </i>
    <i>
      <x v="1"/>
    </i>
    <i>
      <x/>
    </i>
    <i t="grand">
      <x/>
    </i>
  </rowItems>
  <colItems count="1">
    <i/>
  </colItem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2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products]"/>
        <x15:activeTabTopLevelEntity name="[01_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2B980857-6D67-49CF-A022-B5166329BDCB}" autoFormatId="16" applyNumberFormats="0" applyBorderFormats="0" applyFontFormats="0" applyPatternFormats="0" applyAlignmentFormats="0" applyWidthHeightFormats="0">
  <queryTableRefresh nextId="6">
    <queryTableFields count="5">
      <queryTableField id="1" name="ProductID" tableColumnId="1"/>
      <queryTableField id="2" name="Product" tableColumnId="2"/>
      <queryTableField id="3" name="Category" tableColumnId="3"/>
      <queryTableField id="4" name="UnitPrice" tableColumnId="4"/>
      <queryTableField id="5" name="UnitCost" tableColumnId="5"/>
    </queryTableFields>
  </queryTableRefresh>
  <extLst>
    <ext xmlns:x15="http://schemas.microsoft.com/office/spreadsheetml/2010/11/main" uri="{883FBD77-0823-4a55-B5E3-86C4891E6966}">
      <x15:queryTable sourceDataName="Query - 01_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6D30D92-ECC6-48F1-AA9B-65E93D00C9FC}" autoFormatId="16" applyNumberFormats="0" applyBorderFormats="0" applyFontFormats="0" applyPatternFormats="0" applyAlignmentFormats="0" applyWidthHeightFormats="0">
  <queryTableRefresh nextId="16">
    <queryTableFields count="15">
      <queryTableField id="1" name="OrderID" tableColumnId="1"/>
      <queryTableField id="2" name="OrderDate" tableColumnId="2"/>
      <queryTableField id="3" name="SalespersonID" tableColumnId="3"/>
      <queryTableField id="4" name="ProductID" tableColumnId="4"/>
      <queryTableField id="5" name="Channel" tableColumnId="5"/>
      <queryTableField id="6" name="Region" tableColumnId="6"/>
      <queryTableField id="7" name="Country" tableColumnId="7"/>
      <queryTableField id="8" name="Quantity" tableColumnId="8"/>
      <queryTableField id="9" name="Discount" tableColumnId="9"/>
      <queryTableField id="10" name="Revenue" tableColumnId="10"/>
      <queryTableField id="11" name="Commission" tableColumnId="11"/>
      <queryTableField id="12" name="Profit" tableColumnId="12"/>
      <queryTableField id="13" name="ProfitMargin" tableColumnId="13"/>
      <queryTableField id="14" name="OrderDate (Month Index)" tableColumnId="14"/>
      <queryTableField id="15" name="OrderDate (Month)"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62D41DC-0484-455D-B80B-284796E508E1}" autoFormatId="16" applyNumberFormats="0" applyBorderFormats="0" applyFontFormats="0" applyPatternFormats="0" applyAlignmentFormats="0" applyWidthHeightFormats="0">
  <queryTableRefresh nextId="5">
    <queryTableFields count="4">
      <queryTableField id="1" name="SalespersonID" tableColumnId="1"/>
      <queryTableField id="2" name="Salesperson" tableColumnId="2"/>
      <queryTableField id="3" name="Region" tableColumnId="3"/>
      <queryTableField id="4" name="Country" tableColumnId="4"/>
    </queryTableFields>
  </queryTableRefresh>
  <extLst>
    <ext xmlns:x15="http://schemas.microsoft.com/office/spreadsheetml/2010/11/main" uri="{883FBD77-0823-4a55-B5E3-86C4891E6966}">
      <x15:queryTable sourceDataName="Query - 01_salespeop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7F82B1C-DAA5-4FC1-B33F-26EE490A096B}" sourceName="[01_products].[Category]">
  <pivotTables>
    <pivotTable tabId="7" name="PivotTable1"/>
  </pivotTables>
  <data>
    <olap pivotCacheId="798556430">
      <levels count="2">
        <level uniqueName="[01_products].[Category].[(All)]" sourceCaption="(All)" count="0"/>
        <level uniqueName="[01_products].[Category].[Category]" sourceCaption="Category" count="5">
          <ranges>
            <range startItem="0">
              <i n="[01_products].[Category].&amp;[Accessories]" c="Accessories"/>
              <i n="[01_products].[Category].&amp;[Audio]" c="Audio"/>
              <i n="[01_products].[Category].&amp;[Displays]" c="Displays"/>
              <i n="[01_products].[Category].&amp;[Laptops]" c="Laptops"/>
              <i n="[01_products].[Category].&amp;[Peripherals]" c="Peripherals"/>
            </range>
          </ranges>
        </level>
      </levels>
      <selections count="1">
        <selection n="[01_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9526933-5031-4BEB-8F0A-48BCD578B01E}" cache="Slicer_Category" caption="Category" level="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DC266E-95A7-479A-9881-ADD060951FA0}" name="products" displayName="products" ref="A1:E16" tableType="queryTable" totalsRowShown="0">
  <autoFilter ref="A1:E16" xr:uid="{F5DC266E-95A7-479A-9881-ADD060951FA0}"/>
  <tableColumns count="5">
    <tableColumn id="1" xr3:uid="{7B33ED78-E5BE-4C4A-AFCC-AD0204B82DD5}" uniqueName="1" name="ProductID" queryTableFieldId="1" dataDxfId="21"/>
    <tableColumn id="2" xr3:uid="{6BEE4E47-9380-4981-BFDE-105EA5722B12}" uniqueName="2" name="Product" queryTableFieldId="2" dataDxfId="20"/>
    <tableColumn id="3" xr3:uid="{38EBFFF9-EB08-4123-B20D-23D761DF4E54}" uniqueName="3" name="Category" queryTableFieldId="3" dataDxfId="19"/>
    <tableColumn id="4" xr3:uid="{FBCFA971-6650-4DA5-944A-5FBA63835AE3}" uniqueName="4" name="UnitPrice" queryTableFieldId="4"/>
    <tableColumn id="5" xr3:uid="{BAE3FAAA-1393-4EA7-B084-2438143F014B}" uniqueName="5" name="UnitCost"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1923293-F33D-40D9-BF41-D0267DE34951}" name="sales" displayName="sales" ref="A1:O201" tableType="queryTable" totalsRowShown="0">
  <autoFilter ref="A1:O201" xr:uid="{01923293-F33D-40D9-BF41-D0267DE34951}"/>
  <tableColumns count="15">
    <tableColumn id="1" xr3:uid="{A7CB735F-1D3B-4EAB-88D7-E7153E6C3BA1}" uniqueName="1" name="OrderID" queryTableFieldId="1" dataDxfId="18"/>
    <tableColumn id="2" xr3:uid="{6808E6B0-3C9E-4A85-9091-9A48140A6ED8}" uniqueName="2" name="OrderDate" queryTableFieldId="2" dataDxfId="17"/>
    <tableColumn id="3" xr3:uid="{8D7F96A2-4461-4E62-AB57-BCE8FF3A61BB}" uniqueName="3" name="SalespersonID" queryTableFieldId="3" dataDxfId="16"/>
    <tableColumn id="4" xr3:uid="{DD614693-EC8B-43C6-BA23-F116F8713595}" uniqueName="4" name="ProductID" queryTableFieldId="4" dataDxfId="15"/>
    <tableColumn id="5" xr3:uid="{3C5C00AE-6F8B-4B68-A263-EBF8D2964461}" uniqueName="5" name="Channel" queryTableFieldId="5" dataDxfId="14"/>
    <tableColumn id="6" xr3:uid="{7FE45670-218F-409F-8C8B-24D9E7BEC0A5}" uniqueName="6" name="Region" queryTableFieldId="6" dataDxfId="13"/>
    <tableColumn id="7" xr3:uid="{DD143E4C-1AA3-4693-A7FB-16527D6DC56F}" uniqueName="7" name="Country" queryTableFieldId="7" dataDxfId="12"/>
    <tableColumn id="8" xr3:uid="{060C9AEA-43CB-4E72-A974-3E431B9525FA}" uniqueName="8" name="Quantity" queryTableFieldId="8"/>
    <tableColumn id="9" xr3:uid="{461006E9-B944-4AB3-BD54-951C02D3F720}" uniqueName="9" name="Discount" queryTableFieldId="9"/>
    <tableColumn id="10" xr3:uid="{67036DC2-08F4-45C9-B2F2-F487DFDC5A7F}" uniqueName="10" name="Revenue" queryTableFieldId="10"/>
    <tableColumn id="11" xr3:uid="{7455C466-53D7-4535-B3D4-B9119F4DEBCC}" uniqueName="11" name="Commission" queryTableFieldId="11"/>
    <tableColumn id="12" xr3:uid="{892BA02C-536A-4F3E-B20D-070D2FC1C8E0}" uniqueName="12" name="Profit" queryTableFieldId="12"/>
    <tableColumn id="13" xr3:uid="{8826BC50-6E86-4AB5-A2E7-8468430C610B}" uniqueName="13" name="ProfitMargin" queryTableFieldId="13"/>
    <tableColumn id="14" xr3:uid="{E0855794-9AFA-4079-B705-93158CFE994E}" uniqueName="14" name="OrderDate (Month Index)" queryTableFieldId="14"/>
    <tableColumn id="15" xr3:uid="{42CA29E5-A1CF-45A6-8C14-E687AD0F7F3D}" uniqueName="15" name="OrderDate (Month)"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986A9C-94F6-43A7-BC03-523CC0AC3B7E}" name="salespeople" displayName="salespeople" ref="A1:D11" tableType="queryTable" totalsRowShown="0">
  <autoFilter ref="A1:D11" xr:uid="{EA986A9C-94F6-43A7-BC03-523CC0AC3B7E}"/>
  <tableColumns count="4">
    <tableColumn id="1" xr3:uid="{ADB44905-6817-497B-9B67-E818F4C3D398}" uniqueName="1" name="SalespersonID" queryTableFieldId="1" dataDxfId="25"/>
    <tableColumn id="2" xr3:uid="{602166C2-15E6-4748-B183-29EA2028C871}" uniqueName="2" name="Salesperson" queryTableFieldId="2" dataDxfId="24"/>
    <tableColumn id="3" xr3:uid="{C9DABC1E-AAC8-408D-9464-7FB5AF5B00D0}" uniqueName="3" name="Region" queryTableFieldId="3" dataDxfId="23"/>
    <tableColumn id="4" xr3:uid="{C5823CC2-72E4-4A92-89A3-DF27AE1D58F2}" uniqueName="4" name="Country" queryTableFieldId="4" dataDxf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D39FF-5988-4337-99BE-5D2B2D60741C}">
  <dimension ref="B2:K42"/>
  <sheetViews>
    <sheetView showGridLines="0" tabSelected="1" workbookViewId="0">
      <selection activeCell="C3" sqref="B3:C6"/>
    </sheetView>
  </sheetViews>
  <sheetFormatPr defaultRowHeight="14.25" x14ac:dyDescent="0.45"/>
  <cols>
    <col min="2" max="2" width="18.33203125" bestFit="1" customWidth="1"/>
    <col min="3" max="4" width="13.6640625" bestFit="1" customWidth="1"/>
    <col min="9" max="9" width="11.9296875" bestFit="1" customWidth="1"/>
    <col min="10" max="10" width="16.59765625" bestFit="1" customWidth="1"/>
    <col min="11" max="11" width="11" bestFit="1" customWidth="1"/>
    <col min="12" max="12" width="10.3984375" bestFit="1" customWidth="1"/>
    <col min="13" max="13" width="10.265625" bestFit="1" customWidth="1"/>
    <col min="14" max="14" width="8.33203125" bestFit="1" customWidth="1"/>
    <col min="15" max="15" width="10.06640625" bestFit="1" customWidth="1"/>
    <col min="16" max="16" width="11.86328125" bestFit="1" customWidth="1"/>
    <col min="17" max="17" width="12.46484375" bestFit="1" customWidth="1"/>
    <col min="18" max="18" width="9.3984375" bestFit="1" customWidth="1"/>
    <col min="19" max="19" width="10.3984375" bestFit="1" customWidth="1"/>
    <col min="20" max="20" width="9.86328125" bestFit="1" customWidth="1"/>
    <col min="21" max="21" width="8.265625" bestFit="1" customWidth="1"/>
    <col min="22" max="22" width="9.86328125" bestFit="1" customWidth="1"/>
    <col min="23" max="23" width="9.06640625" bestFit="1" customWidth="1"/>
    <col min="24" max="29" width="8.06640625" bestFit="1" customWidth="1"/>
    <col min="39" max="40" width="8.06640625" bestFit="1" customWidth="1"/>
    <col min="51" max="52" width="8.06640625" bestFit="1" customWidth="1"/>
    <col min="63" max="66" width="8.06640625" bestFit="1" customWidth="1"/>
    <col min="75" max="79" width="8.06640625" bestFit="1" customWidth="1"/>
    <col min="89" max="91" width="8.06640625" bestFit="1" customWidth="1"/>
    <col min="99" max="101" width="8.06640625" bestFit="1" customWidth="1"/>
    <col min="114" max="115" width="8.06640625" bestFit="1" customWidth="1"/>
    <col min="128" max="137" width="10.06640625" bestFit="1" customWidth="1"/>
    <col min="143" max="148" width="10.06640625" bestFit="1" customWidth="1"/>
    <col min="156" max="165" width="10.06640625" bestFit="1" customWidth="1"/>
    <col min="166" max="166" width="9.86328125" bestFit="1" customWidth="1"/>
  </cols>
  <sheetData>
    <row r="2" spans="2:10" ht="14.65" thickBot="1" x14ac:dyDescent="0.5"/>
    <row r="3" spans="2:10" x14ac:dyDescent="0.45">
      <c r="B3" s="6" t="s">
        <v>289</v>
      </c>
      <c r="C3" t="s">
        <v>291</v>
      </c>
      <c r="I3" s="10" t="s">
        <v>289</v>
      </c>
      <c r="J3" s="12" t="s">
        <v>292</v>
      </c>
    </row>
    <row r="4" spans="2:10" x14ac:dyDescent="0.45">
      <c r="B4" s="7" t="s">
        <v>25</v>
      </c>
      <c r="C4" s="8">
        <v>421925</v>
      </c>
      <c r="I4" s="13" t="s">
        <v>279</v>
      </c>
      <c r="J4" s="14">
        <v>1891.18</v>
      </c>
    </row>
    <row r="5" spans="2:10" x14ac:dyDescent="0.45">
      <c r="B5" s="7" t="s">
        <v>27</v>
      </c>
      <c r="C5" s="8">
        <v>199762.5</v>
      </c>
      <c r="I5" s="13" t="s">
        <v>274</v>
      </c>
      <c r="J5" s="14">
        <v>2772.94</v>
      </c>
    </row>
    <row r="6" spans="2:10" ht="14.65" thickBot="1" x14ac:dyDescent="0.5">
      <c r="B6" s="7" t="s">
        <v>22</v>
      </c>
      <c r="C6" s="8">
        <v>146797.5</v>
      </c>
      <c r="I6" s="13" t="s">
        <v>283</v>
      </c>
      <c r="J6" s="14">
        <v>3238.91</v>
      </c>
    </row>
    <row r="7" spans="2:10" x14ac:dyDescent="0.45">
      <c r="B7" s="7" t="s">
        <v>18</v>
      </c>
      <c r="C7" s="8">
        <v>74464</v>
      </c>
      <c r="I7" s="13" t="s">
        <v>282</v>
      </c>
      <c r="J7" s="14">
        <v>3271.63</v>
      </c>
    </row>
    <row r="8" spans="2:10" ht="14.65" thickBot="1" x14ac:dyDescent="0.5">
      <c r="B8" s="7" t="s">
        <v>15</v>
      </c>
      <c r="C8" s="8">
        <v>44040</v>
      </c>
      <c r="I8" s="13" t="s">
        <v>281</v>
      </c>
      <c r="J8" s="14">
        <v>3765.8180000000002</v>
      </c>
    </row>
    <row r="9" spans="2:10" ht="14.65" thickBot="1" x14ac:dyDescent="0.5">
      <c r="B9" s="7" t="s">
        <v>290</v>
      </c>
      <c r="C9" s="8">
        <v>886989</v>
      </c>
      <c r="I9" s="13" t="s">
        <v>276</v>
      </c>
      <c r="J9" s="14">
        <v>4556.5010000000002</v>
      </c>
    </row>
    <row r="10" spans="2:10" x14ac:dyDescent="0.45">
      <c r="I10" s="13" t="s">
        <v>277</v>
      </c>
      <c r="J10" s="14">
        <v>5748.32</v>
      </c>
    </row>
    <row r="11" spans="2:10" x14ac:dyDescent="0.45">
      <c r="I11" s="13" t="s">
        <v>280</v>
      </c>
      <c r="J11" s="14">
        <v>6393.692</v>
      </c>
    </row>
    <row r="12" spans="2:10" x14ac:dyDescent="0.45">
      <c r="I12" s="13" t="s">
        <v>275</v>
      </c>
      <c r="J12" s="14">
        <v>6543.09</v>
      </c>
    </row>
    <row r="13" spans="2:10" x14ac:dyDescent="0.45">
      <c r="I13" s="13" t="s">
        <v>278</v>
      </c>
      <c r="J13" s="14">
        <v>10039.39</v>
      </c>
    </row>
    <row r="14" spans="2:10" ht="14.65" thickBot="1" x14ac:dyDescent="0.5">
      <c r="I14" s="15" t="s">
        <v>290</v>
      </c>
      <c r="J14" s="17">
        <v>48221.470999999998</v>
      </c>
    </row>
    <row r="16" spans="2:10" ht="14.65" thickBot="1" x14ac:dyDescent="0.5"/>
    <row r="17" spans="9:11" x14ac:dyDescent="0.45">
      <c r="I17" s="10" t="s">
        <v>289</v>
      </c>
      <c r="J17" s="11" t="s">
        <v>291</v>
      </c>
      <c r="K17" s="12" t="s">
        <v>307</v>
      </c>
    </row>
    <row r="18" spans="9:11" x14ac:dyDescent="0.45">
      <c r="I18" s="13" t="s">
        <v>305</v>
      </c>
      <c r="J18" s="9">
        <v>112180.75</v>
      </c>
      <c r="K18" s="14">
        <v>18652.75</v>
      </c>
    </row>
    <row r="19" spans="9:11" x14ac:dyDescent="0.45">
      <c r="I19" s="13" t="s">
        <v>302</v>
      </c>
      <c r="J19" s="9">
        <v>52908</v>
      </c>
      <c r="K19" s="14">
        <v>12892</v>
      </c>
    </row>
    <row r="20" spans="9:11" x14ac:dyDescent="0.45">
      <c r="I20" s="13" t="s">
        <v>297</v>
      </c>
      <c r="J20" s="9">
        <v>52328.25</v>
      </c>
      <c r="K20" s="14">
        <v>12839.25</v>
      </c>
    </row>
    <row r="21" spans="9:11" x14ac:dyDescent="0.45">
      <c r="I21" s="13" t="s">
        <v>295</v>
      </c>
      <c r="J21" s="9">
        <v>74487.75</v>
      </c>
      <c r="K21" s="14">
        <v>16465.75</v>
      </c>
    </row>
    <row r="22" spans="9:11" x14ac:dyDescent="0.45">
      <c r="I22" s="13" t="s">
        <v>303</v>
      </c>
      <c r="J22" s="9">
        <v>45134.1</v>
      </c>
      <c r="K22" s="14">
        <v>10180.1</v>
      </c>
    </row>
    <row r="23" spans="9:11" x14ac:dyDescent="0.45">
      <c r="I23" s="13" t="s">
        <v>299</v>
      </c>
      <c r="J23" s="9">
        <v>71242.75</v>
      </c>
      <c r="K23" s="14">
        <v>15985.75</v>
      </c>
    </row>
    <row r="24" spans="9:11" x14ac:dyDescent="0.45">
      <c r="I24" s="13" t="s">
        <v>306</v>
      </c>
      <c r="J24" s="9">
        <v>105739.1</v>
      </c>
      <c r="K24" s="14">
        <v>16231.1</v>
      </c>
    </row>
    <row r="25" spans="9:11" x14ac:dyDescent="0.45">
      <c r="I25" s="13" t="s">
        <v>304</v>
      </c>
      <c r="J25" s="9">
        <v>174436.25</v>
      </c>
      <c r="K25" s="14">
        <v>28034.25</v>
      </c>
    </row>
    <row r="26" spans="9:11" x14ac:dyDescent="0.45">
      <c r="I26" s="13" t="s">
        <v>300</v>
      </c>
      <c r="J26" s="9">
        <v>68721.5</v>
      </c>
      <c r="K26" s="14">
        <v>12113.5</v>
      </c>
    </row>
    <row r="27" spans="9:11" x14ac:dyDescent="0.45">
      <c r="I27" s="13" t="s">
        <v>298</v>
      </c>
      <c r="J27" s="9">
        <v>93092.75</v>
      </c>
      <c r="K27" s="14">
        <v>21795.75</v>
      </c>
    </row>
    <row r="28" spans="9:11" x14ac:dyDescent="0.45">
      <c r="I28" s="13" t="s">
        <v>296</v>
      </c>
      <c r="J28" s="9">
        <v>60250.1</v>
      </c>
      <c r="K28" s="14">
        <v>14141.1</v>
      </c>
    </row>
    <row r="29" spans="9:11" x14ac:dyDescent="0.45">
      <c r="I29" s="13" t="s">
        <v>301</v>
      </c>
      <c r="J29" s="9">
        <v>148317.25</v>
      </c>
      <c r="K29" s="14">
        <v>28559.25</v>
      </c>
    </row>
    <row r="30" spans="9:11" ht="14.65" thickBot="1" x14ac:dyDescent="0.5">
      <c r="I30" s="15" t="s">
        <v>290</v>
      </c>
      <c r="J30" s="16">
        <v>1058838.55</v>
      </c>
      <c r="K30" s="17">
        <v>207890.55</v>
      </c>
    </row>
    <row r="32" spans="9:11" ht="14.65" thickBot="1" x14ac:dyDescent="0.5"/>
    <row r="41" ht="14.65" thickBot="1" x14ac:dyDescent="0.5"/>
    <row r="42" ht="14.65" thickBot="1" x14ac:dyDescent="0.5"/>
  </sheetData>
  <sheetProtection sheet="1" objects="1" scenarios="1" selectLockedCells="1" pivotTables="0" selectUnlockedCells="1"/>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BFCEE-B3D1-4B2E-B7CC-12B187153861}">
  <dimension ref="A1:E16"/>
  <sheetViews>
    <sheetView workbookViewId="0">
      <selection activeCell="D15" sqref="D15"/>
    </sheetView>
  </sheetViews>
  <sheetFormatPr defaultRowHeight="14.25" x14ac:dyDescent="0.45"/>
  <cols>
    <col min="1" max="1" width="10.9296875" bestFit="1" customWidth="1"/>
    <col min="2" max="2" width="18.33203125" bestFit="1" customWidth="1"/>
    <col min="3" max="3" width="10.1328125" bestFit="1" customWidth="1"/>
    <col min="4" max="4" width="10.33203125" bestFit="1" customWidth="1"/>
    <col min="5" max="5" width="9.86328125" bestFit="1" customWidth="1"/>
  </cols>
  <sheetData>
    <row r="1" spans="1:5" x14ac:dyDescent="0.45">
      <c r="A1" t="s">
        <v>0</v>
      </c>
      <c r="B1" t="s">
        <v>1</v>
      </c>
      <c r="C1" t="s">
        <v>2</v>
      </c>
      <c r="D1" t="s">
        <v>3</v>
      </c>
      <c r="E1" t="s">
        <v>4</v>
      </c>
    </row>
    <row r="2" spans="1:5" x14ac:dyDescent="0.45">
      <c r="A2" s="5" t="s">
        <v>5</v>
      </c>
      <c r="B2" s="5" t="s">
        <v>6</v>
      </c>
      <c r="C2" s="5" t="s">
        <v>7</v>
      </c>
      <c r="D2">
        <v>25</v>
      </c>
      <c r="E2">
        <v>11</v>
      </c>
    </row>
    <row r="3" spans="1:5" x14ac:dyDescent="0.45">
      <c r="A3" s="5" t="s">
        <v>8</v>
      </c>
      <c r="B3" s="5" t="s">
        <v>9</v>
      </c>
      <c r="C3" s="5" t="s">
        <v>7</v>
      </c>
      <c r="D3">
        <v>79</v>
      </c>
      <c r="E3">
        <v>38</v>
      </c>
    </row>
    <row r="4" spans="1:5" x14ac:dyDescent="0.45">
      <c r="A4" s="5" t="s">
        <v>10</v>
      </c>
      <c r="B4" s="5" t="s">
        <v>11</v>
      </c>
      <c r="C4" s="5" t="s">
        <v>7</v>
      </c>
      <c r="D4">
        <v>45</v>
      </c>
      <c r="E4">
        <v>19</v>
      </c>
    </row>
    <row r="5" spans="1:5" x14ac:dyDescent="0.45">
      <c r="A5" s="5" t="s">
        <v>12</v>
      </c>
      <c r="B5" s="5" t="s">
        <v>13</v>
      </c>
      <c r="C5" s="5" t="s">
        <v>7</v>
      </c>
      <c r="D5">
        <v>35</v>
      </c>
      <c r="E5">
        <v>14</v>
      </c>
    </row>
    <row r="6" spans="1:5" x14ac:dyDescent="0.45">
      <c r="A6" s="5" t="s">
        <v>14</v>
      </c>
      <c r="B6" s="5" t="s">
        <v>15</v>
      </c>
      <c r="C6" s="5" t="s">
        <v>16</v>
      </c>
      <c r="D6">
        <v>240</v>
      </c>
      <c r="E6">
        <v>150</v>
      </c>
    </row>
    <row r="7" spans="1:5" x14ac:dyDescent="0.45">
      <c r="A7" s="5" t="s">
        <v>17</v>
      </c>
      <c r="B7" s="5" t="s">
        <v>18</v>
      </c>
      <c r="C7" s="5" t="s">
        <v>16</v>
      </c>
      <c r="D7">
        <v>520</v>
      </c>
      <c r="E7">
        <v>360</v>
      </c>
    </row>
    <row r="8" spans="1:5" x14ac:dyDescent="0.45">
      <c r="A8" s="5" t="s">
        <v>19</v>
      </c>
      <c r="B8" s="5" t="s">
        <v>20</v>
      </c>
      <c r="C8" s="5" t="s">
        <v>16</v>
      </c>
      <c r="D8">
        <v>180</v>
      </c>
      <c r="E8">
        <v>105</v>
      </c>
    </row>
    <row r="9" spans="1:5" x14ac:dyDescent="0.45">
      <c r="A9" s="5" t="s">
        <v>21</v>
      </c>
      <c r="B9" s="5" t="s">
        <v>22</v>
      </c>
      <c r="C9" s="5" t="s">
        <v>23</v>
      </c>
      <c r="D9">
        <v>1150</v>
      </c>
      <c r="E9">
        <v>820</v>
      </c>
    </row>
    <row r="10" spans="1:5" x14ac:dyDescent="0.45">
      <c r="A10" s="5" t="s">
        <v>24</v>
      </c>
      <c r="B10" s="5" t="s">
        <v>25</v>
      </c>
      <c r="C10" s="5" t="s">
        <v>23</v>
      </c>
      <c r="D10">
        <v>1750</v>
      </c>
      <c r="E10">
        <v>1300</v>
      </c>
    </row>
    <row r="11" spans="1:5" x14ac:dyDescent="0.45">
      <c r="A11" s="5" t="s">
        <v>26</v>
      </c>
      <c r="B11" s="5" t="s">
        <v>27</v>
      </c>
      <c r="C11" s="5" t="s">
        <v>23</v>
      </c>
      <c r="D11">
        <v>1050</v>
      </c>
      <c r="E11">
        <v>760</v>
      </c>
    </row>
    <row r="12" spans="1:5" x14ac:dyDescent="0.45">
      <c r="A12" s="5" t="s">
        <v>28</v>
      </c>
      <c r="B12" s="5" t="s">
        <v>29</v>
      </c>
      <c r="C12" s="5" t="s">
        <v>30</v>
      </c>
      <c r="D12">
        <v>210</v>
      </c>
      <c r="E12">
        <v>120</v>
      </c>
    </row>
    <row r="13" spans="1:5" x14ac:dyDescent="0.45">
      <c r="A13" s="5" t="s">
        <v>31</v>
      </c>
      <c r="B13" s="5" t="s">
        <v>32</v>
      </c>
      <c r="C13" s="5" t="s">
        <v>30</v>
      </c>
      <c r="D13">
        <v>95</v>
      </c>
      <c r="E13">
        <v>44</v>
      </c>
    </row>
    <row r="14" spans="1:5" x14ac:dyDescent="0.45">
      <c r="A14" s="5" t="s">
        <v>33</v>
      </c>
      <c r="B14" s="5" t="s">
        <v>34</v>
      </c>
      <c r="C14" s="5" t="s">
        <v>30</v>
      </c>
      <c r="D14">
        <v>130</v>
      </c>
      <c r="E14">
        <v>62</v>
      </c>
    </row>
    <row r="15" spans="1:5" x14ac:dyDescent="0.45">
      <c r="A15" s="5" t="s">
        <v>35</v>
      </c>
      <c r="B15" s="5" t="s">
        <v>36</v>
      </c>
      <c r="C15" s="5" t="s">
        <v>37</v>
      </c>
      <c r="D15">
        <v>110</v>
      </c>
      <c r="E15">
        <v>55</v>
      </c>
    </row>
    <row r="16" spans="1:5" x14ac:dyDescent="0.45">
      <c r="A16" s="5" t="s">
        <v>38</v>
      </c>
      <c r="B16" s="5" t="s">
        <v>39</v>
      </c>
      <c r="C16" s="5" t="s">
        <v>37</v>
      </c>
      <c r="D16">
        <v>160</v>
      </c>
      <c r="E16">
        <v>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203B-9086-4686-A9E1-A629CEF7AFB5}">
  <dimension ref="A1:O201"/>
  <sheetViews>
    <sheetView workbookViewId="0">
      <selection sqref="A1:M201"/>
    </sheetView>
  </sheetViews>
  <sheetFormatPr defaultRowHeight="14.25" x14ac:dyDescent="0.45"/>
  <cols>
    <col min="1" max="1" width="9.86328125" bestFit="1" customWidth="1"/>
    <col min="2" max="2" width="11.265625" bestFit="1" customWidth="1"/>
    <col min="3" max="3" width="14.59765625" bestFit="1" customWidth="1"/>
    <col min="4" max="4" width="10.9296875" bestFit="1" customWidth="1"/>
    <col min="5" max="5" width="9.59765625" bestFit="1" customWidth="1"/>
    <col min="6" max="6" width="8.3984375" bestFit="1" customWidth="1"/>
    <col min="7" max="7" width="17.19921875" bestFit="1" customWidth="1"/>
    <col min="8" max="8" width="9.6640625" style="3" bestFit="1" customWidth="1"/>
    <col min="9" max="9" width="10" style="4" bestFit="1" customWidth="1"/>
    <col min="10" max="10" width="9.9296875" style="2" bestFit="1" customWidth="1"/>
    <col min="11" max="11" width="12.86328125" style="2" bestFit="1" customWidth="1"/>
    <col min="12" max="12" width="7.33203125" style="2" bestFit="1" customWidth="1"/>
    <col min="13" max="13" width="12.6640625" style="4" bestFit="1" customWidth="1"/>
    <col min="14" max="14" width="22.6640625" style="4" bestFit="1" customWidth="1"/>
    <col min="15" max="15" width="17.86328125" style="4" bestFit="1" customWidth="1"/>
    <col min="16" max="16" width="9.9296875" bestFit="1" customWidth="1"/>
    <col min="17" max="17" width="10.19921875" bestFit="1" customWidth="1"/>
    <col min="18" max="23" width="11.19921875" bestFit="1" customWidth="1"/>
  </cols>
  <sheetData>
    <row r="1" spans="1:15" x14ac:dyDescent="0.45">
      <c r="A1" t="s">
        <v>40</v>
      </c>
      <c r="B1" t="s">
        <v>41</v>
      </c>
      <c r="C1" t="s">
        <v>42</v>
      </c>
      <c r="D1" t="s">
        <v>0</v>
      </c>
      <c r="E1" t="s">
        <v>43</v>
      </c>
      <c r="F1" t="s">
        <v>44</v>
      </c>
      <c r="G1" t="s">
        <v>45</v>
      </c>
      <c r="H1" t="s">
        <v>46</v>
      </c>
      <c r="I1" t="s">
        <v>284</v>
      </c>
      <c r="J1" t="s">
        <v>285</v>
      </c>
      <c r="K1" t="s">
        <v>286</v>
      </c>
      <c r="L1" t="s">
        <v>287</v>
      </c>
      <c r="M1" t="s">
        <v>288</v>
      </c>
      <c r="N1" t="s">
        <v>293</v>
      </c>
      <c r="O1" t="s">
        <v>294</v>
      </c>
    </row>
    <row r="2" spans="1:15" x14ac:dyDescent="0.45">
      <c r="A2" s="5" t="s">
        <v>47</v>
      </c>
      <c r="B2" s="1">
        <v>45411</v>
      </c>
      <c r="C2" s="5" t="s">
        <v>48</v>
      </c>
      <c r="D2" s="5" t="s">
        <v>26</v>
      </c>
      <c r="E2" s="5" t="s">
        <v>49</v>
      </c>
      <c r="F2" s="5" t="s">
        <v>50</v>
      </c>
      <c r="G2" s="5" t="s">
        <v>51</v>
      </c>
      <c r="H2">
        <v>18</v>
      </c>
      <c r="I2">
        <v>0.15</v>
      </c>
      <c r="J2">
        <v>16065</v>
      </c>
      <c r="K2">
        <v>963.9</v>
      </c>
      <c r="L2">
        <v>2385</v>
      </c>
      <c r="M2">
        <v>0.1484593837535014</v>
      </c>
      <c r="N2">
        <v>4</v>
      </c>
      <c r="O2" t="s">
        <v>295</v>
      </c>
    </row>
    <row r="3" spans="1:15" x14ac:dyDescent="0.45">
      <c r="A3" s="5" t="s">
        <v>52</v>
      </c>
      <c r="B3" s="1">
        <v>45624</v>
      </c>
      <c r="C3" s="5" t="s">
        <v>48</v>
      </c>
      <c r="D3" s="5" t="s">
        <v>19</v>
      </c>
      <c r="E3" s="5" t="s">
        <v>49</v>
      </c>
      <c r="F3" s="5" t="s">
        <v>50</v>
      </c>
      <c r="G3" s="5" t="s">
        <v>51</v>
      </c>
      <c r="H3">
        <v>15</v>
      </c>
      <c r="I3">
        <v>0.1</v>
      </c>
      <c r="J3">
        <v>2430</v>
      </c>
      <c r="K3">
        <v>48.6</v>
      </c>
      <c r="L3">
        <v>855</v>
      </c>
      <c r="M3">
        <v>0.35185185185185186</v>
      </c>
      <c r="N3">
        <v>11</v>
      </c>
      <c r="O3" t="s">
        <v>296</v>
      </c>
    </row>
    <row r="4" spans="1:15" x14ac:dyDescent="0.45">
      <c r="A4" s="5" t="s">
        <v>53</v>
      </c>
      <c r="B4" s="1">
        <v>45371</v>
      </c>
      <c r="C4" s="5" t="s">
        <v>54</v>
      </c>
      <c r="D4" s="5" t="s">
        <v>33</v>
      </c>
      <c r="E4" s="5" t="s">
        <v>55</v>
      </c>
      <c r="F4" s="5" t="s">
        <v>50</v>
      </c>
      <c r="G4" s="5" t="s">
        <v>56</v>
      </c>
      <c r="H4">
        <v>4</v>
      </c>
      <c r="I4">
        <v>0</v>
      </c>
      <c r="J4">
        <v>520</v>
      </c>
      <c r="K4">
        <v>10.4</v>
      </c>
      <c r="L4">
        <v>272</v>
      </c>
      <c r="M4">
        <v>0.52307692307692311</v>
      </c>
      <c r="N4">
        <v>3</v>
      </c>
      <c r="O4" t="s">
        <v>297</v>
      </c>
    </row>
    <row r="5" spans="1:15" x14ac:dyDescent="0.45">
      <c r="A5" s="5" t="s">
        <v>57</v>
      </c>
      <c r="B5" s="1">
        <v>45574</v>
      </c>
      <c r="C5" s="5" t="s">
        <v>58</v>
      </c>
      <c r="D5" s="5" t="s">
        <v>35</v>
      </c>
      <c r="E5" s="5" t="s">
        <v>59</v>
      </c>
      <c r="F5" s="5" t="s">
        <v>50</v>
      </c>
      <c r="G5" s="5" t="s">
        <v>60</v>
      </c>
      <c r="H5">
        <v>20</v>
      </c>
      <c r="I5">
        <v>0.15</v>
      </c>
      <c r="J5">
        <v>1870</v>
      </c>
      <c r="K5">
        <v>37.4</v>
      </c>
      <c r="L5">
        <v>770</v>
      </c>
      <c r="M5">
        <v>0.41176470588235292</v>
      </c>
      <c r="N5">
        <v>10</v>
      </c>
      <c r="O5" t="s">
        <v>298</v>
      </c>
    </row>
    <row r="6" spans="1:15" x14ac:dyDescent="0.45">
      <c r="A6" s="5" t="s">
        <v>61</v>
      </c>
      <c r="B6" s="1">
        <v>45587</v>
      </c>
      <c r="C6" s="5" t="s">
        <v>54</v>
      </c>
      <c r="D6" s="5" t="s">
        <v>31</v>
      </c>
      <c r="E6" s="5" t="s">
        <v>49</v>
      </c>
      <c r="F6" s="5" t="s">
        <v>50</v>
      </c>
      <c r="G6" s="5" t="s">
        <v>56</v>
      </c>
      <c r="H6">
        <v>2</v>
      </c>
      <c r="I6">
        <v>0</v>
      </c>
      <c r="J6">
        <v>190</v>
      </c>
      <c r="K6">
        <v>3.8</v>
      </c>
      <c r="L6">
        <v>102</v>
      </c>
      <c r="M6">
        <v>0.5368421052631579</v>
      </c>
      <c r="N6">
        <v>10</v>
      </c>
      <c r="O6" t="s">
        <v>298</v>
      </c>
    </row>
    <row r="7" spans="1:15" x14ac:dyDescent="0.45">
      <c r="A7" s="5" t="s">
        <v>62</v>
      </c>
      <c r="B7" s="1">
        <v>45473</v>
      </c>
      <c r="C7" s="5" t="s">
        <v>54</v>
      </c>
      <c r="D7" s="5" t="s">
        <v>28</v>
      </c>
      <c r="E7" s="5" t="s">
        <v>55</v>
      </c>
      <c r="F7" s="5" t="s">
        <v>50</v>
      </c>
      <c r="G7" s="5" t="s">
        <v>56</v>
      </c>
      <c r="H7">
        <v>23</v>
      </c>
      <c r="I7">
        <v>0.2</v>
      </c>
      <c r="J7">
        <v>3864</v>
      </c>
      <c r="K7">
        <v>77.28</v>
      </c>
      <c r="L7">
        <v>1104</v>
      </c>
      <c r="M7">
        <v>0.2857142857142857</v>
      </c>
      <c r="N7">
        <v>6</v>
      </c>
      <c r="O7" t="s">
        <v>299</v>
      </c>
    </row>
    <row r="8" spans="1:15" x14ac:dyDescent="0.45">
      <c r="A8" s="5" t="s">
        <v>63</v>
      </c>
      <c r="B8" s="1">
        <v>45562</v>
      </c>
      <c r="C8" s="5" t="s">
        <v>58</v>
      </c>
      <c r="D8" s="5" t="s">
        <v>24</v>
      </c>
      <c r="E8" s="5" t="s">
        <v>49</v>
      </c>
      <c r="F8" s="5" t="s">
        <v>50</v>
      </c>
      <c r="G8" s="5" t="s">
        <v>60</v>
      </c>
      <c r="H8">
        <v>22</v>
      </c>
      <c r="I8">
        <v>0.2</v>
      </c>
      <c r="J8">
        <v>30800</v>
      </c>
      <c r="K8">
        <v>1848</v>
      </c>
      <c r="L8">
        <v>2200</v>
      </c>
      <c r="M8">
        <v>7.1428571428571425E-2</v>
      </c>
      <c r="N8">
        <v>9</v>
      </c>
      <c r="O8" t="s">
        <v>300</v>
      </c>
    </row>
    <row r="9" spans="1:15" x14ac:dyDescent="0.45">
      <c r="A9" s="5" t="s">
        <v>64</v>
      </c>
      <c r="B9" s="1">
        <v>45641</v>
      </c>
      <c r="C9" s="5" t="s">
        <v>48</v>
      </c>
      <c r="D9" s="5" t="s">
        <v>33</v>
      </c>
      <c r="E9" s="5" t="s">
        <v>55</v>
      </c>
      <c r="F9" s="5" t="s">
        <v>50</v>
      </c>
      <c r="G9" s="5" t="s">
        <v>51</v>
      </c>
      <c r="H9">
        <v>25</v>
      </c>
      <c r="I9">
        <v>0.2</v>
      </c>
      <c r="J9">
        <v>2600</v>
      </c>
      <c r="K9">
        <v>52</v>
      </c>
      <c r="L9">
        <v>1050</v>
      </c>
      <c r="M9">
        <v>0.40384615384615385</v>
      </c>
      <c r="N9">
        <v>12</v>
      </c>
      <c r="O9" t="s">
        <v>301</v>
      </c>
    </row>
    <row r="10" spans="1:15" x14ac:dyDescent="0.45">
      <c r="A10" s="5" t="s">
        <v>65</v>
      </c>
      <c r="B10" s="1">
        <v>45349</v>
      </c>
      <c r="C10" s="5" t="s">
        <v>58</v>
      </c>
      <c r="D10" s="5" t="s">
        <v>19</v>
      </c>
      <c r="E10" s="5" t="s">
        <v>49</v>
      </c>
      <c r="F10" s="5" t="s">
        <v>50</v>
      </c>
      <c r="G10" s="5" t="s">
        <v>60</v>
      </c>
      <c r="H10">
        <v>15</v>
      </c>
      <c r="I10">
        <v>0.1</v>
      </c>
      <c r="J10">
        <v>2430</v>
      </c>
      <c r="K10">
        <v>48.6</v>
      </c>
      <c r="L10">
        <v>855</v>
      </c>
      <c r="M10">
        <v>0.35185185185185186</v>
      </c>
      <c r="N10">
        <v>2</v>
      </c>
      <c r="O10" t="s">
        <v>302</v>
      </c>
    </row>
    <row r="11" spans="1:15" x14ac:dyDescent="0.45">
      <c r="A11" s="5" t="s">
        <v>66</v>
      </c>
      <c r="B11" s="1">
        <v>45426</v>
      </c>
      <c r="C11" s="5" t="s">
        <v>48</v>
      </c>
      <c r="D11" s="5" t="s">
        <v>33</v>
      </c>
      <c r="E11" s="5" t="s">
        <v>49</v>
      </c>
      <c r="F11" s="5" t="s">
        <v>50</v>
      </c>
      <c r="G11" s="5" t="s">
        <v>51</v>
      </c>
      <c r="H11">
        <v>17</v>
      </c>
      <c r="I11">
        <v>0.15</v>
      </c>
      <c r="J11">
        <v>1878.5</v>
      </c>
      <c r="K11">
        <v>37.57</v>
      </c>
      <c r="L11">
        <v>824.5</v>
      </c>
      <c r="M11">
        <v>0.43891402714932126</v>
      </c>
      <c r="N11">
        <v>5</v>
      </c>
      <c r="O11" t="s">
        <v>303</v>
      </c>
    </row>
    <row r="12" spans="1:15" x14ac:dyDescent="0.45">
      <c r="A12" s="5" t="s">
        <v>67</v>
      </c>
      <c r="B12" s="1">
        <v>45612</v>
      </c>
      <c r="C12" s="5" t="s">
        <v>58</v>
      </c>
      <c r="D12" s="5" t="s">
        <v>35</v>
      </c>
      <c r="E12" s="5" t="s">
        <v>59</v>
      </c>
      <c r="F12" s="5" t="s">
        <v>50</v>
      </c>
      <c r="G12" s="5" t="s">
        <v>60</v>
      </c>
      <c r="H12">
        <v>17</v>
      </c>
      <c r="I12">
        <v>0.15</v>
      </c>
      <c r="J12">
        <v>1589.5</v>
      </c>
      <c r="K12">
        <v>31.79</v>
      </c>
      <c r="L12">
        <v>654.5</v>
      </c>
      <c r="M12">
        <v>0.41176470588235292</v>
      </c>
      <c r="N12">
        <v>11</v>
      </c>
      <c r="O12" t="s">
        <v>296</v>
      </c>
    </row>
    <row r="13" spans="1:15" x14ac:dyDescent="0.45">
      <c r="A13" s="5" t="s">
        <v>68</v>
      </c>
      <c r="B13" s="1">
        <v>45449</v>
      </c>
      <c r="C13" s="5" t="s">
        <v>54</v>
      </c>
      <c r="D13" s="5" t="s">
        <v>5</v>
      </c>
      <c r="E13" s="5" t="s">
        <v>49</v>
      </c>
      <c r="F13" s="5" t="s">
        <v>50</v>
      </c>
      <c r="G13" s="5" t="s">
        <v>56</v>
      </c>
      <c r="H13">
        <v>19</v>
      </c>
      <c r="I13">
        <v>0.15</v>
      </c>
      <c r="J13">
        <v>403.75</v>
      </c>
      <c r="K13">
        <v>8.0749999999999993</v>
      </c>
      <c r="L13">
        <v>194.75</v>
      </c>
      <c r="M13">
        <v>0.4823529411764706</v>
      </c>
      <c r="N13">
        <v>6</v>
      </c>
      <c r="O13" t="s">
        <v>299</v>
      </c>
    </row>
    <row r="14" spans="1:15" x14ac:dyDescent="0.45">
      <c r="A14" s="5" t="s">
        <v>69</v>
      </c>
      <c r="B14" s="1">
        <v>45400</v>
      </c>
      <c r="C14" s="5" t="s">
        <v>48</v>
      </c>
      <c r="D14" s="5" t="s">
        <v>33</v>
      </c>
      <c r="E14" s="5" t="s">
        <v>59</v>
      </c>
      <c r="F14" s="5" t="s">
        <v>50</v>
      </c>
      <c r="G14" s="5" t="s">
        <v>51</v>
      </c>
      <c r="H14">
        <v>23</v>
      </c>
      <c r="I14">
        <v>0.2</v>
      </c>
      <c r="J14">
        <v>2392</v>
      </c>
      <c r="K14">
        <v>47.84</v>
      </c>
      <c r="L14">
        <v>966</v>
      </c>
      <c r="M14">
        <v>0.40384615384615385</v>
      </c>
      <c r="N14">
        <v>4</v>
      </c>
      <c r="O14" t="s">
        <v>295</v>
      </c>
    </row>
    <row r="15" spans="1:15" x14ac:dyDescent="0.45">
      <c r="A15" s="5" t="s">
        <v>70</v>
      </c>
      <c r="B15" s="1">
        <v>45657</v>
      </c>
      <c r="C15" s="5" t="s">
        <v>58</v>
      </c>
      <c r="D15" s="5" t="s">
        <v>19</v>
      </c>
      <c r="E15" s="5" t="s">
        <v>59</v>
      </c>
      <c r="F15" s="5" t="s">
        <v>50</v>
      </c>
      <c r="G15" s="5" t="s">
        <v>60</v>
      </c>
      <c r="H15">
        <v>21</v>
      </c>
      <c r="I15">
        <v>0.2</v>
      </c>
      <c r="J15">
        <v>3024</v>
      </c>
      <c r="K15">
        <v>60.48</v>
      </c>
      <c r="L15">
        <v>819</v>
      </c>
      <c r="M15">
        <v>0.27083333333333331</v>
      </c>
      <c r="N15">
        <v>12</v>
      </c>
      <c r="O15" t="s">
        <v>301</v>
      </c>
    </row>
    <row r="16" spans="1:15" x14ac:dyDescent="0.45">
      <c r="A16" s="5" t="s">
        <v>71</v>
      </c>
      <c r="B16" s="1">
        <v>45516</v>
      </c>
      <c r="C16" s="5" t="s">
        <v>48</v>
      </c>
      <c r="D16" s="5" t="s">
        <v>21</v>
      </c>
      <c r="E16" s="5" t="s">
        <v>49</v>
      </c>
      <c r="F16" s="5" t="s">
        <v>50</v>
      </c>
      <c r="G16" s="5" t="s">
        <v>51</v>
      </c>
      <c r="H16">
        <v>8</v>
      </c>
      <c r="I16">
        <v>0.05</v>
      </c>
      <c r="J16">
        <v>8740</v>
      </c>
      <c r="K16">
        <v>349.6</v>
      </c>
      <c r="L16">
        <v>2180</v>
      </c>
      <c r="M16">
        <v>0.2494279176201373</v>
      </c>
      <c r="N16">
        <v>8</v>
      </c>
      <c r="O16" t="s">
        <v>304</v>
      </c>
    </row>
    <row r="17" spans="1:15" x14ac:dyDescent="0.45">
      <c r="A17" s="5" t="s">
        <v>72</v>
      </c>
      <c r="B17" s="1">
        <v>45593</v>
      </c>
      <c r="C17" s="5" t="s">
        <v>54</v>
      </c>
      <c r="D17" s="5" t="s">
        <v>5</v>
      </c>
      <c r="E17" s="5" t="s">
        <v>49</v>
      </c>
      <c r="F17" s="5" t="s">
        <v>50</v>
      </c>
      <c r="G17" s="5" t="s">
        <v>56</v>
      </c>
      <c r="H17">
        <v>23</v>
      </c>
      <c r="I17">
        <v>0.2</v>
      </c>
      <c r="J17">
        <v>460</v>
      </c>
      <c r="K17">
        <v>9.1999999999999993</v>
      </c>
      <c r="L17">
        <v>207</v>
      </c>
      <c r="M17">
        <v>0.45</v>
      </c>
      <c r="N17">
        <v>10</v>
      </c>
      <c r="O17" t="s">
        <v>298</v>
      </c>
    </row>
    <row r="18" spans="1:15" x14ac:dyDescent="0.45">
      <c r="A18" s="5" t="s">
        <v>73</v>
      </c>
      <c r="B18" s="1">
        <v>45555</v>
      </c>
      <c r="C18" s="5" t="s">
        <v>54</v>
      </c>
      <c r="D18" s="5" t="s">
        <v>14</v>
      </c>
      <c r="E18" s="5" t="s">
        <v>59</v>
      </c>
      <c r="F18" s="5" t="s">
        <v>50</v>
      </c>
      <c r="G18" s="5" t="s">
        <v>56</v>
      </c>
      <c r="H18">
        <v>16</v>
      </c>
      <c r="I18">
        <v>0.15</v>
      </c>
      <c r="J18">
        <v>3264</v>
      </c>
      <c r="K18">
        <v>65.28</v>
      </c>
      <c r="L18">
        <v>864</v>
      </c>
      <c r="M18">
        <v>0.26470588235294118</v>
      </c>
      <c r="N18">
        <v>9</v>
      </c>
      <c r="O18" t="s">
        <v>300</v>
      </c>
    </row>
    <row r="19" spans="1:15" x14ac:dyDescent="0.45">
      <c r="A19" s="5" t="s">
        <v>74</v>
      </c>
      <c r="B19" s="1">
        <v>45347</v>
      </c>
      <c r="C19" s="5" t="s">
        <v>54</v>
      </c>
      <c r="D19" s="5" t="s">
        <v>12</v>
      </c>
      <c r="E19" s="5" t="s">
        <v>49</v>
      </c>
      <c r="F19" s="5" t="s">
        <v>50</v>
      </c>
      <c r="G19" s="5" t="s">
        <v>56</v>
      </c>
      <c r="H19">
        <v>18</v>
      </c>
      <c r="I19">
        <v>0.15</v>
      </c>
      <c r="J19">
        <v>535.5</v>
      </c>
      <c r="K19">
        <v>10.71</v>
      </c>
      <c r="L19">
        <v>283.5</v>
      </c>
      <c r="M19">
        <v>0.52941176470588236</v>
      </c>
      <c r="N19">
        <v>2</v>
      </c>
      <c r="O19" t="s">
        <v>302</v>
      </c>
    </row>
    <row r="20" spans="1:15" x14ac:dyDescent="0.45">
      <c r="A20" s="5" t="s">
        <v>75</v>
      </c>
      <c r="B20" s="1">
        <v>45625</v>
      </c>
      <c r="C20" s="5" t="s">
        <v>48</v>
      </c>
      <c r="D20" s="5" t="s">
        <v>35</v>
      </c>
      <c r="E20" s="5" t="s">
        <v>49</v>
      </c>
      <c r="F20" s="5" t="s">
        <v>50</v>
      </c>
      <c r="G20" s="5" t="s">
        <v>51</v>
      </c>
      <c r="H20">
        <v>3</v>
      </c>
      <c r="I20">
        <v>0</v>
      </c>
      <c r="J20">
        <v>330</v>
      </c>
      <c r="K20">
        <v>6.6</v>
      </c>
      <c r="L20">
        <v>165</v>
      </c>
      <c r="M20">
        <v>0.5</v>
      </c>
      <c r="N20">
        <v>11</v>
      </c>
      <c r="O20" t="s">
        <v>296</v>
      </c>
    </row>
    <row r="21" spans="1:15" x14ac:dyDescent="0.45">
      <c r="A21" s="5" t="s">
        <v>76</v>
      </c>
      <c r="B21" s="1">
        <v>45524</v>
      </c>
      <c r="C21" s="5" t="s">
        <v>58</v>
      </c>
      <c r="D21" s="5" t="s">
        <v>19</v>
      </c>
      <c r="E21" s="5" t="s">
        <v>59</v>
      </c>
      <c r="F21" s="5" t="s">
        <v>50</v>
      </c>
      <c r="G21" s="5" t="s">
        <v>60</v>
      </c>
      <c r="H21">
        <v>24</v>
      </c>
      <c r="I21">
        <v>0.2</v>
      </c>
      <c r="J21">
        <v>3456</v>
      </c>
      <c r="K21">
        <v>69.12</v>
      </c>
      <c r="L21">
        <v>936</v>
      </c>
      <c r="M21">
        <v>0.27083333333333331</v>
      </c>
      <c r="N21">
        <v>8</v>
      </c>
      <c r="O21" t="s">
        <v>304</v>
      </c>
    </row>
    <row r="22" spans="1:15" x14ac:dyDescent="0.45">
      <c r="A22" s="5" t="s">
        <v>77</v>
      </c>
      <c r="B22" s="1">
        <v>45371</v>
      </c>
      <c r="C22" s="5" t="s">
        <v>54</v>
      </c>
      <c r="D22" s="5" t="s">
        <v>14</v>
      </c>
      <c r="E22" s="5" t="s">
        <v>49</v>
      </c>
      <c r="F22" s="5" t="s">
        <v>50</v>
      </c>
      <c r="G22" s="5" t="s">
        <v>56</v>
      </c>
      <c r="H22">
        <v>2</v>
      </c>
      <c r="I22">
        <v>0</v>
      </c>
      <c r="J22">
        <v>480</v>
      </c>
      <c r="K22">
        <v>9.6</v>
      </c>
      <c r="L22">
        <v>180</v>
      </c>
      <c r="M22">
        <v>0.375</v>
      </c>
      <c r="N22">
        <v>3</v>
      </c>
      <c r="O22" t="s">
        <v>297</v>
      </c>
    </row>
    <row r="23" spans="1:15" x14ac:dyDescent="0.45">
      <c r="A23" s="5" t="s">
        <v>78</v>
      </c>
      <c r="B23" s="1">
        <v>45321</v>
      </c>
      <c r="C23" s="5" t="s">
        <v>48</v>
      </c>
      <c r="D23" s="5" t="s">
        <v>8</v>
      </c>
      <c r="E23" s="5" t="s">
        <v>49</v>
      </c>
      <c r="F23" s="5" t="s">
        <v>50</v>
      </c>
      <c r="G23" s="5" t="s">
        <v>51</v>
      </c>
      <c r="H23">
        <v>3</v>
      </c>
      <c r="I23">
        <v>0</v>
      </c>
      <c r="J23">
        <v>237</v>
      </c>
      <c r="K23">
        <v>4.74</v>
      </c>
      <c r="L23">
        <v>123</v>
      </c>
      <c r="M23">
        <v>0.51898734177215189</v>
      </c>
      <c r="N23">
        <v>1</v>
      </c>
      <c r="O23" t="s">
        <v>305</v>
      </c>
    </row>
    <row r="24" spans="1:15" x14ac:dyDescent="0.45">
      <c r="A24" s="5" t="s">
        <v>79</v>
      </c>
      <c r="B24" s="1">
        <v>45637</v>
      </c>
      <c r="C24" s="5" t="s">
        <v>54</v>
      </c>
      <c r="D24" s="5" t="s">
        <v>19</v>
      </c>
      <c r="E24" s="5" t="s">
        <v>49</v>
      </c>
      <c r="F24" s="5" t="s">
        <v>50</v>
      </c>
      <c r="G24" s="5" t="s">
        <v>56</v>
      </c>
      <c r="H24">
        <v>19</v>
      </c>
      <c r="I24">
        <v>0.15</v>
      </c>
      <c r="J24">
        <v>2907</v>
      </c>
      <c r="K24">
        <v>58.14</v>
      </c>
      <c r="L24">
        <v>912</v>
      </c>
      <c r="M24">
        <v>0.31372549019607843</v>
      </c>
      <c r="N24">
        <v>12</v>
      </c>
      <c r="O24" t="s">
        <v>301</v>
      </c>
    </row>
    <row r="25" spans="1:15" x14ac:dyDescent="0.45">
      <c r="A25" s="5" t="s">
        <v>80</v>
      </c>
      <c r="B25" s="1">
        <v>45588</v>
      </c>
      <c r="C25" s="5" t="s">
        <v>81</v>
      </c>
      <c r="D25" s="5" t="s">
        <v>5</v>
      </c>
      <c r="E25" s="5" t="s">
        <v>59</v>
      </c>
      <c r="F25" s="5" t="s">
        <v>50</v>
      </c>
      <c r="G25" s="5" t="s">
        <v>82</v>
      </c>
      <c r="H25">
        <v>3</v>
      </c>
      <c r="I25">
        <v>0</v>
      </c>
      <c r="J25">
        <v>75</v>
      </c>
      <c r="K25">
        <v>1.5</v>
      </c>
      <c r="L25">
        <v>42</v>
      </c>
      <c r="M25">
        <v>0.56000000000000005</v>
      </c>
      <c r="N25">
        <v>10</v>
      </c>
      <c r="O25" t="s">
        <v>298</v>
      </c>
    </row>
    <row r="26" spans="1:15" x14ac:dyDescent="0.45">
      <c r="A26" s="5" t="s">
        <v>83</v>
      </c>
      <c r="B26" s="1">
        <v>45628</v>
      </c>
      <c r="C26" s="5" t="s">
        <v>81</v>
      </c>
      <c r="D26" s="5" t="s">
        <v>26</v>
      </c>
      <c r="E26" s="5" t="s">
        <v>59</v>
      </c>
      <c r="F26" s="5" t="s">
        <v>50</v>
      </c>
      <c r="G26" s="5" t="s">
        <v>82</v>
      </c>
      <c r="H26">
        <v>11</v>
      </c>
      <c r="I26">
        <v>0.1</v>
      </c>
      <c r="J26">
        <v>10395</v>
      </c>
      <c r="K26">
        <v>415.8</v>
      </c>
      <c r="L26">
        <v>2035</v>
      </c>
      <c r="M26">
        <v>0.19576719576719576</v>
      </c>
      <c r="N26">
        <v>12</v>
      </c>
      <c r="O26" t="s">
        <v>301</v>
      </c>
    </row>
    <row r="27" spans="1:15" x14ac:dyDescent="0.45">
      <c r="A27" s="5" t="s">
        <v>84</v>
      </c>
      <c r="B27" s="1">
        <v>45635</v>
      </c>
      <c r="C27" s="5" t="s">
        <v>58</v>
      </c>
      <c r="D27" s="5" t="s">
        <v>21</v>
      </c>
      <c r="E27" s="5" t="s">
        <v>55</v>
      </c>
      <c r="F27" s="5" t="s">
        <v>50</v>
      </c>
      <c r="G27" s="5" t="s">
        <v>60</v>
      </c>
      <c r="H27">
        <v>25</v>
      </c>
      <c r="I27">
        <v>0.2</v>
      </c>
      <c r="J27">
        <v>23000</v>
      </c>
      <c r="K27">
        <v>1380</v>
      </c>
      <c r="L27">
        <v>2500</v>
      </c>
      <c r="M27">
        <v>0.10869565217391304</v>
      </c>
      <c r="N27">
        <v>12</v>
      </c>
      <c r="O27" t="s">
        <v>301</v>
      </c>
    </row>
    <row r="28" spans="1:15" x14ac:dyDescent="0.45">
      <c r="A28" s="5" t="s">
        <v>85</v>
      </c>
      <c r="B28" s="1">
        <v>45567</v>
      </c>
      <c r="C28" s="5" t="s">
        <v>54</v>
      </c>
      <c r="D28" s="5" t="s">
        <v>24</v>
      </c>
      <c r="E28" s="5" t="s">
        <v>55</v>
      </c>
      <c r="F28" s="5" t="s">
        <v>50</v>
      </c>
      <c r="G28" s="5" t="s">
        <v>56</v>
      </c>
      <c r="H28">
        <v>5</v>
      </c>
      <c r="I28">
        <v>0</v>
      </c>
      <c r="J28">
        <v>8750</v>
      </c>
      <c r="K28">
        <v>350</v>
      </c>
      <c r="L28">
        <v>2250</v>
      </c>
      <c r="M28">
        <v>0.25714285714285712</v>
      </c>
      <c r="N28">
        <v>10</v>
      </c>
      <c r="O28" t="s">
        <v>298</v>
      </c>
    </row>
    <row r="29" spans="1:15" x14ac:dyDescent="0.45">
      <c r="A29" s="5" t="s">
        <v>86</v>
      </c>
      <c r="B29" s="1">
        <v>45327</v>
      </c>
      <c r="C29" s="5" t="s">
        <v>54</v>
      </c>
      <c r="D29" s="5" t="s">
        <v>17</v>
      </c>
      <c r="E29" s="5" t="s">
        <v>55</v>
      </c>
      <c r="F29" s="5" t="s">
        <v>50</v>
      </c>
      <c r="G29" s="5" t="s">
        <v>56</v>
      </c>
      <c r="H29">
        <v>6</v>
      </c>
      <c r="I29">
        <v>0.05</v>
      </c>
      <c r="J29">
        <v>2964</v>
      </c>
      <c r="K29">
        <v>59.28</v>
      </c>
      <c r="L29">
        <v>804</v>
      </c>
      <c r="M29">
        <v>0.27125506072874495</v>
      </c>
      <c r="N29">
        <v>2</v>
      </c>
      <c r="O29" t="s">
        <v>302</v>
      </c>
    </row>
    <row r="30" spans="1:15" x14ac:dyDescent="0.45">
      <c r="A30" s="5" t="s">
        <v>87</v>
      </c>
      <c r="B30" s="1">
        <v>45570</v>
      </c>
      <c r="C30" s="5" t="s">
        <v>58</v>
      </c>
      <c r="D30" s="5" t="s">
        <v>26</v>
      </c>
      <c r="E30" s="5" t="s">
        <v>59</v>
      </c>
      <c r="F30" s="5" t="s">
        <v>50</v>
      </c>
      <c r="G30" s="5" t="s">
        <v>60</v>
      </c>
      <c r="H30">
        <v>17</v>
      </c>
      <c r="I30">
        <v>0.15</v>
      </c>
      <c r="J30">
        <v>15172.5</v>
      </c>
      <c r="K30">
        <v>910.35</v>
      </c>
      <c r="L30">
        <v>2252.5</v>
      </c>
      <c r="M30">
        <v>0.1484593837535014</v>
      </c>
      <c r="N30">
        <v>10</v>
      </c>
      <c r="O30" t="s">
        <v>298</v>
      </c>
    </row>
    <row r="31" spans="1:15" x14ac:dyDescent="0.45">
      <c r="A31" s="5" t="s">
        <v>88</v>
      </c>
      <c r="B31" s="1">
        <v>45633</v>
      </c>
      <c r="C31" s="5" t="s">
        <v>48</v>
      </c>
      <c r="D31" s="5" t="s">
        <v>14</v>
      </c>
      <c r="E31" s="5" t="s">
        <v>59</v>
      </c>
      <c r="F31" s="5" t="s">
        <v>50</v>
      </c>
      <c r="G31" s="5" t="s">
        <v>51</v>
      </c>
      <c r="H31">
        <v>4</v>
      </c>
      <c r="I31">
        <v>0</v>
      </c>
      <c r="J31">
        <v>960</v>
      </c>
      <c r="K31">
        <v>19.2</v>
      </c>
      <c r="L31">
        <v>360</v>
      </c>
      <c r="M31">
        <v>0.375</v>
      </c>
      <c r="N31">
        <v>12</v>
      </c>
      <c r="O31" t="s">
        <v>301</v>
      </c>
    </row>
    <row r="32" spans="1:15" x14ac:dyDescent="0.45">
      <c r="A32" s="5" t="s">
        <v>89</v>
      </c>
      <c r="B32" s="1">
        <v>45431</v>
      </c>
      <c r="C32" s="5" t="s">
        <v>58</v>
      </c>
      <c r="D32" s="5" t="s">
        <v>26</v>
      </c>
      <c r="E32" s="5" t="s">
        <v>49</v>
      </c>
      <c r="F32" s="5" t="s">
        <v>50</v>
      </c>
      <c r="G32" s="5" t="s">
        <v>60</v>
      </c>
      <c r="H32">
        <v>23</v>
      </c>
      <c r="I32">
        <v>0.2</v>
      </c>
      <c r="J32">
        <v>19320</v>
      </c>
      <c r="K32">
        <v>1159.2</v>
      </c>
      <c r="L32">
        <v>1840</v>
      </c>
      <c r="M32">
        <v>9.5238095238095233E-2</v>
      </c>
      <c r="N32">
        <v>5</v>
      </c>
      <c r="O32" t="s">
        <v>303</v>
      </c>
    </row>
    <row r="33" spans="1:15" x14ac:dyDescent="0.45">
      <c r="A33" s="5" t="s">
        <v>90</v>
      </c>
      <c r="B33" s="1">
        <v>45396</v>
      </c>
      <c r="C33" s="5" t="s">
        <v>58</v>
      </c>
      <c r="D33" s="5" t="s">
        <v>24</v>
      </c>
      <c r="E33" s="5" t="s">
        <v>55</v>
      </c>
      <c r="F33" s="5" t="s">
        <v>50</v>
      </c>
      <c r="G33" s="5" t="s">
        <v>60</v>
      </c>
      <c r="H33">
        <v>9</v>
      </c>
      <c r="I33">
        <v>0.05</v>
      </c>
      <c r="J33">
        <v>14962.5</v>
      </c>
      <c r="K33">
        <v>598.5</v>
      </c>
      <c r="L33">
        <v>3262.5</v>
      </c>
      <c r="M33">
        <v>0.21804511278195488</v>
      </c>
      <c r="N33">
        <v>4</v>
      </c>
      <c r="O33" t="s">
        <v>295</v>
      </c>
    </row>
    <row r="34" spans="1:15" x14ac:dyDescent="0.45">
      <c r="A34" s="5" t="s">
        <v>91</v>
      </c>
      <c r="B34" s="1">
        <v>45475</v>
      </c>
      <c r="C34" s="5" t="s">
        <v>54</v>
      </c>
      <c r="D34" s="5" t="s">
        <v>28</v>
      </c>
      <c r="E34" s="5" t="s">
        <v>49</v>
      </c>
      <c r="F34" s="5" t="s">
        <v>50</v>
      </c>
      <c r="G34" s="5" t="s">
        <v>56</v>
      </c>
      <c r="H34">
        <v>22</v>
      </c>
      <c r="I34">
        <v>0.2</v>
      </c>
      <c r="J34">
        <v>3696</v>
      </c>
      <c r="K34">
        <v>73.92</v>
      </c>
      <c r="L34">
        <v>1056</v>
      </c>
      <c r="M34">
        <v>0.2857142857142857</v>
      </c>
      <c r="N34">
        <v>7</v>
      </c>
      <c r="O34" t="s">
        <v>306</v>
      </c>
    </row>
    <row r="35" spans="1:15" x14ac:dyDescent="0.45">
      <c r="A35" s="5" t="s">
        <v>92</v>
      </c>
      <c r="B35" s="1">
        <v>45473</v>
      </c>
      <c r="C35" s="5" t="s">
        <v>48</v>
      </c>
      <c r="D35" s="5" t="s">
        <v>38</v>
      </c>
      <c r="E35" s="5" t="s">
        <v>55</v>
      </c>
      <c r="F35" s="5" t="s">
        <v>50</v>
      </c>
      <c r="G35" s="5" t="s">
        <v>51</v>
      </c>
      <c r="H35">
        <v>20</v>
      </c>
      <c r="I35">
        <v>0.15</v>
      </c>
      <c r="J35">
        <v>2720</v>
      </c>
      <c r="K35">
        <v>54.4</v>
      </c>
      <c r="L35">
        <v>960</v>
      </c>
      <c r="M35">
        <v>0.35294117647058826</v>
      </c>
      <c r="N35">
        <v>6</v>
      </c>
      <c r="O35" t="s">
        <v>299</v>
      </c>
    </row>
    <row r="36" spans="1:15" x14ac:dyDescent="0.45">
      <c r="A36" s="5" t="s">
        <v>93</v>
      </c>
      <c r="B36" s="1">
        <v>45448</v>
      </c>
      <c r="C36" s="5" t="s">
        <v>54</v>
      </c>
      <c r="D36" s="5" t="s">
        <v>12</v>
      </c>
      <c r="E36" s="5" t="s">
        <v>49</v>
      </c>
      <c r="F36" s="5" t="s">
        <v>50</v>
      </c>
      <c r="G36" s="5" t="s">
        <v>56</v>
      </c>
      <c r="H36">
        <v>22</v>
      </c>
      <c r="I36">
        <v>0.2</v>
      </c>
      <c r="J36">
        <v>616</v>
      </c>
      <c r="K36">
        <v>12.32</v>
      </c>
      <c r="L36">
        <v>308</v>
      </c>
      <c r="M36">
        <v>0.5</v>
      </c>
      <c r="N36">
        <v>6</v>
      </c>
      <c r="O36" t="s">
        <v>299</v>
      </c>
    </row>
    <row r="37" spans="1:15" x14ac:dyDescent="0.45">
      <c r="A37" s="5" t="s">
        <v>94</v>
      </c>
      <c r="B37" s="1">
        <v>45471</v>
      </c>
      <c r="C37" s="5" t="s">
        <v>48</v>
      </c>
      <c r="D37" s="5" t="s">
        <v>19</v>
      </c>
      <c r="E37" s="5" t="s">
        <v>59</v>
      </c>
      <c r="F37" s="5" t="s">
        <v>50</v>
      </c>
      <c r="G37" s="5" t="s">
        <v>51</v>
      </c>
      <c r="H37">
        <v>18</v>
      </c>
      <c r="I37">
        <v>0.15</v>
      </c>
      <c r="J37">
        <v>2754</v>
      </c>
      <c r="K37">
        <v>55.08</v>
      </c>
      <c r="L37">
        <v>864</v>
      </c>
      <c r="M37">
        <v>0.31372549019607843</v>
      </c>
      <c r="N37">
        <v>6</v>
      </c>
      <c r="O37" t="s">
        <v>299</v>
      </c>
    </row>
    <row r="38" spans="1:15" x14ac:dyDescent="0.45">
      <c r="A38" s="5" t="s">
        <v>95</v>
      </c>
      <c r="B38" s="1">
        <v>45515</v>
      </c>
      <c r="C38" s="5" t="s">
        <v>81</v>
      </c>
      <c r="D38" s="5" t="s">
        <v>24</v>
      </c>
      <c r="E38" s="5" t="s">
        <v>49</v>
      </c>
      <c r="F38" s="5" t="s">
        <v>50</v>
      </c>
      <c r="G38" s="5" t="s">
        <v>82</v>
      </c>
      <c r="H38">
        <v>13</v>
      </c>
      <c r="I38">
        <v>0.1</v>
      </c>
      <c r="J38">
        <v>20475</v>
      </c>
      <c r="K38">
        <v>1228.5</v>
      </c>
      <c r="L38">
        <v>3575</v>
      </c>
      <c r="M38">
        <v>0.17460317460317459</v>
      </c>
      <c r="N38">
        <v>8</v>
      </c>
      <c r="O38" t="s">
        <v>304</v>
      </c>
    </row>
    <row r="39" spans="1:15" x14ac:dyDescent="0.45">
      <c r="A39" s="5" t="s">
        <v>96</v>
      </c>
      <c r="B39" s="1">
        <v>45588</v>
      </c>
      <c r="C39" s="5" t="s">
        <v>81</v>
      </c>
      <c r="D39" s="5" t="s">
        <v>28</v>
      </c>
      <c r="E39" s="5" t="s">
        <v>55</v>
      </c>
      <c r="F39" s="5" t="s">
        <v>50</v>
      </c>
      <c r="G39" s="5" t="s">
        <v>82</v>
      </c>
      <c r="H39">
        <v>15</v>
      </c>
      <c r="I39">
        <v>0.1</v>
      </c>
      <c r="J39">
        <v>2835</v>
      </c>
      <c r="K39">
        <v>56.7</v>
      </c>
      <c r="L39">
        <v>1035</v>
      </c>
      <c r="M39">
        <v>0.36507936507936506</v>
      </c>
      <c r="N39">
        <v>10</v>
      </c>
      <c r="O39" t="s">
        <v>298</v>
      </c>
    </row>
    <row r="40" spans="1:15" x14ac:dyDescent="0.45">
      <c r="A40" s="5" t="s">
        <v>97</v>
      </c>
      <c r="B40" s="1">
        <v>45518</v>
      </c>
      <c r="C40" s="5" t="s">
        <v>54</v>
      </c>
      <c r="D40" s="5" t="s">
        <v>24</v>
      </c>
      <c r="E40" s="5" t="s">
        <v>55</v>
      </c>
      <c r="F40" s="5" t="s">
        <v>50</v>
      </c>
      <c r="G40" s="5" t="s">
        <v>56</v>
      </c>
      <c r="H40">
        <v>24</v>
      </c>
      <c r="I40">
        <v>0.2</v>
      </c>
      <c r="J40">
        <v>33600</v>
      </c>
      <c r="K40">
        <v>2016</v>
      </c>
      <c r="L40">
        <v>2400</v>
      </c>
      <c r="M40">
        <v>7.1428571428571425E-2</v>
      </c>
      <c r="N40">
        <v>8</v>
      </c>
      <c r="O40" t="s">
        <v>304</v>
      </c>
    </row>
    <row r="41" spans="1:15" x14ac:dyDescent="0.45">
      <c r="A41" s="5" t="s">
        <v>98</v>
      </c>
      <c r="B41" s="1">
        <v>45339</v>
      </c>
      <c r="C41" s="5" t="s">
        <v>54</v>
      </c>
      <c r="D41" s="5" t="s">
        <v>28</v>
      </c>
      <c r="E41" s="5" t="s">
        <v>55</v>
      </c>
      <c r="F41" s="5" t="s">
        <v>50</v>
      </c>
      <c r="G41" s="5" t="s">
        <v>56</v>
      </c>
      <c r="H41">
        <v>8</v>
      </c>
      <c r="I41">
        <v>0.05</v>
      </c>
      <c r="J41">
        <v>1596</v>
      </c>
      <c r="K41">
        <v>31.92</v>
      </c>
      <c r="L41">
        <v>636</v>
      </c>
      <c r="M41">
        <v>0.39849624060150374</v>
      </c>
      <c r="N41">
        <v>2</v>
      </c>
      <c r="O41" t="s">
        <v>302</v>
      </c>
    </row>
    <row r="42" spans="1:15" x14ac:dyDescent="0.45">
      <c r="A42" s="5" t="s">
        <v>99</v>
      </c>
      <c r="B42" s="1">
        <v>45317</v>
      </c>
      <c r="C42" s="5" t="s">
        <v>48</v>
      </c>
      <c r="D42" s="5" t="s">
        <v>12</v>
      </c>
      <c r="E42" s="5" t="s">
        <v>49</v>
      </c>
      <c r="F42" s="5" t="s">
        <v>50</v>
      </c>
      <c r="G42" s="5" t="s">
        <v>51</v>
      </c>
      <c r="H42">
        <v>15</v>
      </c>
      <c r="I42">
        <v>0.1</v>
      </c>
      <c r="J42">
        <v>472.5</v>
      </c>
      <c r="K42">
        <v>9.4499999999999993</v>
      </c>
      <c r="L42">
        <v>262.5</v>
      </c>
      <c r="M42">
        <v>0.55555555555555558</v>
      </c>
      <c r="N42">
        <v>1</v>
      </c>
      <c r="O42" t="s">
        <v>305</v>
      </c>
    </row>
    <row r="43" spans="1:15" x14ac:dyDescent="0.45">
      <c r="A43" s="5" t="s">
        <v>100</v>
      </c>
      <c r="B43" s="1">
        <v>45529</v>
      </c>
      <c r="C43" s="5" t="s">
        <v>48</v>
      </c>
      <c r="D43" s="5" t="s">
        <v>24</v>
      </c>
      <c r="E43" s="5" t="s">
        <v>59</v>
      </c>
      <c r="F43" s="5" t="s">
        <v>50</v>
      </c>
      <c r="G43" s="5" t="s">
        <v>51</v>
      </c>
      <c r="H43">
        <v>11</v>
      </c>
      <c r="I43">
        <v>0.1</v>
      </c>
      <c r="J43">
        <v>17325</v>
      </c>
      <c r="K43">
        <v>1039.5</v>
      </c>
      <c r="L43">
        <v>3025</v>
      </c>
      <c r="M43">
        <v>0.17460317460317459</v>
      </c>
      <c r="N43">
        <v>8</v>
      </c>
      <c r="O43" t="s">
        <v>304</v>
      </c>
    </row>
    <row r="44" spans="1:15" x14ac:dyDescent="0.45">
      <c r="A44" s="5" t="s">
        <v>101</v>
      </c>
      <c r="B44" s="1">
        <v>45605</v>
      </c>
      <c r="C44" s="5" t="s">
        <v>48</v>
      </c>
      <c r="D44" s="5" t="s">
        <v>19</v>
      </c>
      <c r="E44" s="5" t="s">
        <v>59</v>
      </c>
      <c r="F44" s="5" t="s">
        <v>50</v>
      </c>
      <c r="G44" s="5" t="s">
        <v>51</v>
      </c>
      <c r="H44">
        <v>15</v>
      </c>
      <c r="I44">
        <v>0.1</v>
      </c>
      <c r="J44">
        <v>2430</v>
      </c>
      <c r="K44">
        <v>48.6</v>
      </c>
      <c r="L44">
        <v>855</v>
      </c>
      <c r="M44">
        <v>0.35185185185185186</v>
      </c>
      <c r="N44">
        <v>11</v>
      </c>
      <c r="O44" t="s">
        <v>296</v>
      </c>
    </row>
    <row r="45" spans="1:15" x14ac:dyDescent="0.45">
      <c r="A45" s="5" t="s">
        <v>102</v>
      </c>
      <c r="B45" s="1">
        <v>45331</v>
      </c>
      <c r="C45" s="5" t="s">
        <v>58</v>
      </c>
      <c r="D45" s="5" t="s">
        <v>12</v>
      </c>
      <c r="E45" s="5" t="s">
        <v>55</v>
      </c>
      <c r="F45" s="5" t="s">
        <v>50</v>
      </c>
      <c r="G45" s="5" t="s">
        <v>60</v>
      </c>
      <c r="H45">
        <v>11</v>
      </c>
      <c r="I45">
        <v>0.1</v>
      </c>
      <c r="J45">
        <v>346.5</v>
      </c>
      <c r="K45">
        <v>6.93</v>
      </c>
      <c r="L45">
        <v>192.5</v>
      </c>
      <c r="M45">
        <v>0.55555555555555558</v>
      </c>
      <c r="N45">
        <v>2</v>
      </c>
      <c r="O45" t="s">
        <v>302</v>
      </c>
    </row>
    <row r="46" spans="1:15" x14ac:dyDescent="0.45">
      <c r="A46" s="5" t="s">
        <v>103</v>
      </c>
      <c r="B46" s="1">
        <v>45541</v>
      </c>
      <c r="C46" s="5" t="s">
        <v>54</v>
      </c>
      <c r="D46" s="5" t="s">
        <v>14</v>
      </c>
      <c r="E46" s="5" t="s">
        <v>55</v>
      </c>
      <c r="F46" s="5" t="s">
        <v>50</v>
      </c>
      <c r="G46" s="5" t="s">
        <v>56</v>
      </c>
      <c r="H46">
        <v>16</v>
      </c>
      <c r="I46">
        <v>0.15</v>
      </c>
      <c r="J46">
        <v>3264</v>
      </c>
      <c r="K46">
        <v>65.28</v>
      </c>
      <c r="L46">
        <v>864</v>
      </c>
      <c r="M46">
        <v>0.26470588235294118</v>
      </c>
      <c r="N46">
        <v>9</v>
      </c>
      <c r="O46" t="s">
        <v>300</v>
      </c>
    </row>
    <row r="47" spans="1:15" x14ac:dyDescent="0.45">
      <c r="A47" s="5" t="s">
        <v>104</v>
      </c>
      <c r="B47" s="1">
        <v>45595</v>
      </c>
      <c r="C47" s="5" t="s">
        <v>81</v>
      </c>
      <c r="D47" s="5" t="s">
        <v>28</v>
      </c>
      <c r="E47" s="5" t="s">
        <v>49</v>
      </c>
      <c r="F47" s="5" t="s">
        <v>50</v>
      </c>
      <c r="G47" s="5" t="s">
        <v>82</v>
      </c>
      <c r="H47">
        <v>3</v>
      </c>
      <c r="I47">
        <v>0</v>
      </c>
      <c r="J47">
        <v>630</v>
      </c>
      <c r="K47">
        <v>12.6</v>
      </c>
      <c r="L47">
        <v>270</v>
      </c>
      <c r="M47">
        <v>0.42857142857142855</v>
      </c>
      <c r="N47">
        <v>10</v>
      </c>
      <c r="O47" t="s">
        <v>298</v>
      </c>
    </row>
    <row r="48" spans="1:15" x14ac:dyDescent="0.45">
      <c r="A48" s="5" t="s">
        <v>105</v>
      </c>
      <c r="B48" s="1">
        <v>45459</v>
      </c>
      <c r="C48" s="5" t="s">
        <v>54</v>
      </c>
      <c r="D48" s="5" t="s">
        <v>21</v>
      </c>
      <c r="E48" s="5" t="s">
        <v>55</v>
      </c>
      <c r="F48" s="5" t="s">
        <v>50</v>
      </c>
      <c r="G48" s="5" t="s">
        <v>56</v>
      </c>
      <c r="H48">
        <v>11</v>
      </c>
      <c r="I48">
        <v>0.1</v>
      </c>
      <c r="J48">
        <v>11385</v>
      </c>
      <c r="K48">
        <v>455.4</v>
      </c>
      <c r="L48">
        <v>2365</v>
      </c>
      <c r="M48">
        <v>0.20772946859903382</v>
      </c>
      <c r="N48">
        <v>6</v>
      </c>
      <c r="O48" t="s">
        <v>299</v>
      </c>
    </row>
    <row r="49" spans="1:15" x14ac:dyDescent="0.45">
      <c r="A49" s="5" t="s">
        <v>106</v>
      </c>
      <c r="B49" s="1">
        <v>45302</v>
      </c>
      <c r="C49" s="5" t="s">
        <v>81</v>
      </c>
      <c r="D49" s="5" t="s">
        <v>10</v>
      </c>
      <c r="E49" s="5" t="s">
        <v>49</v>
      </c>
      <c r="F49" s="5" t="s">
        <v>50</v>
      </c>
      <c r="G49" s="5" t="s">
        <v>82</v>
      </c>
      <c r="H49">
        <v>5</v>
      </c>
      <c r="I49">
        <v>0</v>
      </c>
      <c r="J49">
        <v>225</v>
      </c>
      <c r="K49">
        <v>4.5</v>
      </c>
      <c r="L49">
        <v>130</v>
      </c>
      <c r="M49">
        <v>0.57777777777777772</v>
      </c>
      <c r="N49">
        <v>1</v>
      </c>
      <c r="O49" t="s">
        <v>305</v>
      </c>
    </row>
    <row r="50" spans="1:15" x14ac:dyDescent="0.45">
      <c r="A50" s="5" t="s">
        <v>107</v>
      </c>
      <c r="B50" s="1">
        <v>45375</v>
      </c>
      <c r="C50" s="5" t="s">
        <v>58</v>
      </c>
      <c r="D50" s="5" t="s">
        <v>8</v>
      </c>
      <c r="E50" s="5" t="s">
        <v>59</v>
      </c>
      <c r="F50" s="5" t="s">
        <v>50</v>
      </c>
      <c r="G50" s="5" t="s">
        <v>60</v>
      </c>
      <c r="H50">
        <v>1</v>
      </c>
      <c r="I50">
        <v>0</v>
      </c>
      <c r="J50">
        <v>79</v>
      </c>
      <c r="K50">
        <v>1.58</v>
      </c>
      <c r="L50">
        <v>41</v>
      </c>
      <c r="M50">
        <v>0.51898734177215189</v>
      </c>
      <c r="N50">
        <v>3</v>
      </c>
      <c r="O50" t="s">
        <v>297</v>
      </c>
    </row>
    <row r="51" spans="1:15" x14ac:dyDescent="0.45">
      <c r="A51" s="5" t="s">
        <v>108</v>
      </c>
      <c r="B51" s="1">
        <v>45595</v>
      </c>
      <c r="C51" s="5" t="s">
        <v>54</v>
      </c>
      <c r="D51" s="5" t="s">
        <v>8</v>
      </c>
      <c r="E51" s="5" t="s">
        <v>59</v>
      </c>
      <c r="F51" s="5" t="s">
        <v>50</v>
      </c>
      <c r="G51" s="5" t="s">
        <v>56</v>
      </c>
      <c r="H51">
        <v>25</v>
      </c>
      <c r="I51">
        <v>0.2</v>
      </c>
      <c r="J51">
        <v>1580</v>
      </c>
      <c r="K51">
        <v>31.6</v>
      </c>
      <c r="L51">
        <v>630</v>
      </c>
      <c r="M51">
        <v>0.39873417721518989</v>
      </c>
      <c r="N51">
        <v>10</v>
      </c>
      <c r="O51" t="s">
        <v>298</v>
      </c>
    </row>
    <row r="52" spans="1:15" x14ac:dyDescent="0.45">
      <c r="A52" s="5" t="s">
        <v>109</v>
      </c>
      <c r="B52" s="1">
        <v>45642</v>
      </c>
      <c r="C52" s="5" t="s">
        <v>81</v>
      </c>
      <c r="D52" s="5" t="s">
        <v>33</v>
      </c>
      <c r="E52" s="5" t="s">
        <v>49</v>
      </c>
      <c r="F52" s="5" t="s">
        <v>50</v>
      </c>
      <c r="G52" s="5" t="s">
        <v>82</v>
      </c>
      <c r="H52">
        <v>19</v>
      </c>
      <c r="I52">
        <v>0.15</v>
      </c>
      <c r="J52">
        <v>2099.5</v>
      </c>
      <c r="K52">
        <v>41.99</v>
      </c>
      <c r="L52">
        <v>921.5</v>
      </c>
      <c r="M52">
        <v>0.43891402714932126</v>
      </c>
      <c r="N52">
        <v>12</v>
      </c>
      <c r="O52" t="s">
        <v>301</v>
      </c>
    </row>
    <row r="53" spans="1:15" x14ac:dyDescent="0.45">
      <c r="A53" s="5" t="s">
        <v>110</v>
      </c>
      <c r="B53" s="1">
        <v>45469</v>
      </c>
      <c r="C53" s="5" t="s">
        <v>48</v>
      </c>
      <c r="D53" s="5" t="s">
        <v>19</v>
      </c>
      <c r="E53" s="5" t="s">
        <v>59</v>
      </c>
      <c r="F53" s="5" t="s">
        <v>50</v>
      </c>
      <c r="G53" s="5" t="s">
        <v>51</v>
      </c>
      <c r="H53">
        <v>12</v>
      </c>
      <c r="I53">
        <v>0.1</v>
      </c>
      <c r="J53">
        <v>1944</v>
      </c>
      <c r="K53">
        <v>38.880000000000003</v>
      </c>
      <c r="L53">
        <v>684</v>
      </c>
      <c r="M53">
        <v>0.35185185185185186</v>
      </c>
      <c r="N53">
        <v>6</v>
      </c>
      <c r="O53" t="s">
        <v>299</v>
      </c>
    </row>
    <row r="54" spans="1:15" x14ac:dyDescent="0.45">
      <c r="A54" s="5" t="s">
        <v>111</v>
      </c>
      <c r="B54" s="1">
        <v>45607</v>
      </c>
      <c r="C54" s="5" t="s">
        <v>48</v>
      </c>
      <c r="D54" s="5" t="s">
        <v>33</v>
      </c>
      <c r="E54" s="5" t="s">
        <v>55</v>
      </c>
      <c r="F54" s="5" t="s">
        <v>50</v>
      </c>
      <c r="G54" s="5" t="s">
        <v>51</v>
      </c>
      <c r="H54">
        <v>15</v>
      </c>
      <c r="I54">
        <v>0.1</v>
      </c>
      <c r="J54">
        <v>1755</v>
      </c>
      <c r="K54">
        <v>35.1</v>
      </c>
      <c r="L54">
        <v>825</v>
      </c>
      <c r="M54">
        <v>0.47008547008547008</v>
      </c>
      <c r="N54">
        <v>11</v>
      </c>
      <c r="O54" t="s">
        <v>296</v>
      </c>
    </row>
    <row r="55" spans="1:15" x14ac:dyDescent="0.45">
      <c r="A55" s="5" t="s">
        <v>112</v>
      </c>
      <c r="B55" s="1">
        <v>45595</v>
      </c>
      <c r="C55" s="5" t="s">
        <v>58</v>
      </c>
      <c r="D55" s="5" t="s">
        <v>17</v>
      </c>
      <c r="E55" s="5" t="s">
        <v>49</v>
      </c>
      <c r="F55" s="5" t="s">
        <v>50</v>
      </c>
      <c r="G55" s="5" t="s">
        <v>60</v>
      </c>
      <c r="H55">
        <v>3</v>
      </c>
      <c r="I55">
        <v>0</v>
      </c>
      <c r="J55">
        <v>1560</v>
      </c>
      <c r="K55">
        <v>31.2</v>
      </c>
      <c r="L55">
        <v>480</v>
      </c>
      <c r="M55">
        <v>0.30769230769230771</v>
      </c>
      <c r="N55">
        <v>10</v>
      </c>
      <c r="O55" t="s">
        <v>298</v>
      </c>
    </row>
    <row r="56" spans="1:15" x14ac:dyDescent="0.45">
      <c r="A56" s="5" t="s">
        <v>113</v>
      </c>
      <c r="B56" s="1">
        <v>45522</v>
      </c>
      <c r="C56" s="5" t="s">
        <v>54</v>
      </c>
      <c r="D56" s="5" t="s">
        <v>33</v>
      </c>
      <c r="E56" s="5" t="s">
        <v>55</v>
      </c>
      <c r="F56" s="5" t="s">
        <v>50</v>
      </c>
      <c r="G56" s="5" t="s">
        <v>56</v>
      </c>
      <c r="H56">
        <v>19</v>
      </c>
      <c r="I56">
        <v>0.15</v>
      </c>
      <c r="J56">
        <v>2099.5</v>
      </c>
      <c r="K56">
        <v>41.99</v>
      </c>
      <c r="L56">
        <v>921.5</v>
      </c>
      <c r="M56">
        <v>0.43891402714932126</v>
      </c>
      <c r="N56">
        <v>8</v>
      </c>
      <c r="O56" t="s">
        <v>304</v>
      </c>
    </row>
    <row r="57" spans="1:15" x14ac:dyDescent="0.45">
      <c r="A57" s="5" t="s">
        <v>114</v>
      </c>
      <c r="B57" s="1">
        <v>45597</v>
      </c>
      <c r="C57" s="5" t="s">
        <v>58</v>
      </c>
      <c r="D57" s="5" t="s">
        <v>24</v>
      </c>
      <c r="E57" s="5" t="s">
        <v>49</v>
      </c>
      <c r="F57" s="5" t="s">
        <v>50</v>
      </c>
      <c r="G57" s="5" t="s">
        <v>60</v>
      </c>
      <c r="H57">
        <v>17</v>
      </c>
      <c r="I57">
        <v>0.15</v>
      </c>
      <c r="J57">
        <v>25287.5</v>
      </c>
      <c r="K57">
        <v>1517.25</v>
      </c>
      <c r="L57">
        <v>3187.5</v>
      </c>
      <c r="M57">
        <v>0.12605042016806722</v>
      </c>
      <c r="N57">
        <v>11</v>
      </c>
      <c r="O57" t="s">
        <v>296</v>
      </c>
    </row>
    <row r="58" spans="1:15" x14ac:dyDescent="0.45">
      <c r="A58" s="5" t="s">
        <v>115</v>
      </c>
      <c r="B58" s="1">
        <v>45335</v>
      </c>
      <c r="C58" s="5" t="s">
        <v>54</v>
      </c>
      <c r="D58" s="5" t="s">
        <v>31</v>
      </c>
      <c r="E58" s="5" t="s">
        <v>55</v>
      </c>
      <c r="F58" s="5" t="s">
        <v>50</v>
      </c>
      <c r="G58" s="5" t="s">
        <v>56</v>
      </c>
      <c r="H58">
        <v>16</v>
      </c>
      <c r="I58">
        <v>0.15</v>
      </c>
      <c r="J58">
        <v>1292</v>
      </c>
      <c r="K58">
        <v>25.84</v>
      </c>
      <c r="L58">
        <v>588</v>
      </c>
      <c r="M58">
        <v>0.45510835913312692</v>
      </c>
      <c r="N58">
        <v>2</v>
      </c>
      <c r="O58" t="s">
        <v>302</v>
      </c>
    </row>
    <row r="59" spans="1:15" x14ac:dyDescent="0.45">
      <c r="A59" s="5" t="s">
        <v>116</v>
      </c>
      <c r="B59" s="1">
        <v>45448</v>
      </c>
      <c r="C59" s="5" t="s">
        <v>81</v>
      </c>
      <c r="D59" s="5" t="s">
        <v>17</v>
      </c>
      <c r="E59" s="5" t="s">
        <v>55</v>
      </c>
      <c r="F59" s="5" t="s">
        <v>50</v>
      </c>
      <c r="G59" s="5" t="s">
        <v>82</v>
      </c>
      <c r="H59">
        <v>18</v>
      </c>
      <c r="I59">
        <v>0.15</v>
      </c>
      <c r="J59">
        <v>7956</v>
      </c>
      <c r="K59">
        <v>318.24</v>
      </c>
      <c r="L59">
        <v>1476</v>
      </c>
      <c r="M59">
        <v>0.18552036199095023</v>
      </c>
      <c r="N59">
        <v>6</v>
      </c>
      <c r="O59" t="s">
        <v>299</v>
      </c>
    </row>
    <row r="60" spans="1:15" x14ac:dyDescent="0.45">
      <c r="A60" s="5" t="s">
        <v>117</v>
      </c>
      <c r="B60" s="1">
        <v>45509</v>
      </c>
      <c r="C60" s="5" t="s">
        <v>48</v>
      </c>
      <c r="D60" s="5" t="s">
        <v>17</v>
      </c>
      <c r="E60" s="5" t="s">
        <v>55</v>
      </c>
      <c r="F60" s="5" t="s">
        <v>50</v>
      </c>
      <c r="G60" s="5" t="s">
        <v>51</v>
      </c>
      <c r="H60">
        <v>23</v>
      </c>
      <c r="I60">
        <v>0.2</v>
      </c>
      <c r="J60">
        <v>9568</v>
      </c>
      <c r="K60">
        <v>382.72</v>
      </c>
      <c r="L60">
        <v>1288</v>
      </c>
      <c r="M60">
        <v>0.13461538461538461</v>
      </c>
      <c r="N60">
        <v>8</v>
      </c>
      <c r="O60" t="s">
        <v>304</v>
      </c>
    </row>
    <row r="61" spans="1:15" x14ac:dyDescent="0.45">
      <c r="A61" s="5" t="s">
        <v>118</v>
      </c>
      <c r="B61" s="1">
        <v>45430</v>
      </c>
      <c r="C61" s="5" t="s">
        <v>58</v>
      </c>
      <c r="D61" s="5" t="s">
        <v>14</v>
      </c>
      <c r="E61" s="5" t="s">
        <v>49</v>
      </c>
      <c r="F61" s="5" t="s">
        <v>50</v>
      </c>
      <c r="G61" s="5" t="s">
        <v>60</v>
      </c>
      <c r="H61">
        <v>4</v>
      </c>
      <c r="I61">
        <v>0</v>
      </c>
      <c r="J61">
        <v>960</v>
      </c>
      <c r="K61">
        <v>19.2</v>
      </c>
      <c r="L61">
        <v>360</v>
      </c>
      <c r="M61">
        <v>0.375</v>
      </c>
      <c r="N61">
        <v>5</v>
      </c>
      <c r="O61" t="s">
        <v>303</v>
      </c>
    </row>
    <row r="62" spans="1:15" x14ac:dyDescent="0.45">
      <c r="A62" s="5" t="s">
        <v>119</v>
      </c>
      <c r="B62" s="1">
        <v>45390</v>
      </c>
      <c r="C62" s="5" t="s">
        <v>54</v>
      </c>
      <c r="D62" s="5" t="s">
        <v>31</v>
      </c>
      <c r="E62" s="5" t="s">
        <v>55</v>
      </c>
      <c r="F62" s="5" t="s">
        <v>50</v>
      </c>
      <c r="G62" s="5" t="s">
        <v>56</v>
      </c>
      <c r="H62">
        <v>9</v>
      </c>
      <c r="I62">
        <v>0.05</v>
      </c>
      <c r="J62">
        <v>812.25</v>
      </c>
      <c r="K62">
        <v>16.245000000000001</v>
      </c>
      <c r="L62">
        <v>416.25</v>
      </c>
      <c r="M62">
        <v>0.51246537396121883</v>
      </c>
      <c r="N62">
        <v>4</v>
      </c>
      <c r="O62" t="s">
        <v>295</v>
      </c>
    </row>
    <row r="63" spans="1:15" x14ac:dyDescent="0.45">
      <c r="A63" s="5" t="s">
        <v>120</v>
      </c>
      <c r="B63" s="1">
        <v>45343</v>
      </c>
      <c r="C63" s="5" t="s">
        <v>54</v>
      </c>
      <c r="D63" s="5" t="s">
        <v>14</v>
      </c>
      <c r="E63" s="5" t="s">
        <v>49</v>
      </c>
      <c r="F63" s="5" t="s">
        <v>50</v>
      </c>
      <c r="G63" s="5" t="s">
        <v>56</v>
      </c>
      <c r="H63">
        <v>12</v>
      </c>
      <c r="I63">
        <v>0.1</v>
      </c>
      <c r="J63">
        <v>2592</v>
      </c>
      <c r="K63">
        <v>51.84</v>
      </c>
      <c r="L63">
        <v>792</v>
      </c>
      <c r="M63">
        <v>0.30555555555555558</v>
      </c>
      <c r="N63">
        <v>2</v>
      </c>
      <c r="O63" t="s">
        <v>302</v>
      </c>
    </row>
    <row r="64" spans="1:15" x14ac:dyDescent="0.45">
      <c r="A64" s="5" t="s">
        <v>121</v>
      </c>
      <c r="B64" s="1">
        <v>45329</v>
      </c>
      <c r="C64" s="5" t="s">
        <v>81</v>
      </c>
      <c r="D64" s="5" t="s">
        <v>28</v>
      </c>
      <c r="E64" s="5" t="s">
        <v>59</v>
      </c>
      <c r="F64" s="5" t="s">
        <v>50</v>
      </c>
      <c r="G64" s="5" t="s">
        <v>82</v>
      </c>
      <c r="H64">
        <v>2</v>
      </c>
      <c r="I64">
        <v>0</v>
      </c>
      <c r="J64">
        <v>420</v>
      </c>
      <c r="K64">
        <v>8.4</v>
      </c>
      <c r="L64">
        <v>180</v>
      </c>
      <c r="M64">
        <v>0.42857142857142855</v>
      </c>
      <c r="N64">
        <v>2</v>
      </c>
      <c r="O64" t="s">
        <v>302</v>
      </c>
    </row>
    <row r="65" spans="1:15" x14ac:dyDescent="0.45">
      <c r="A65" s="5" t="s">
        <v>122</v>
      </c>
      <c r="B65" s="1">
        <v>45368</v>
      </c>
      <c r="C65" s="5" t="s">
        <v>81</v>
      </c>
      <c r="D65" s="5" t="s">
        <v>14</v>
      </c>
      <c r="E65" s="5" t="s">
        <v>49</v>
      </c>
      <c r="F65" s="5" t="s">
        <v>50</v>
      </c>
      <c r="G65" s="5" t="s">
        <v>82</v>
      </c>
      <c r="H65">
        <v>8</v>
      </c>
      <c r="I65">
        <v>0.05</v>
      </c>
      <c r="J65">
        <v>1824</v>
      </c>
      <c r="K65">
        <v>36.479999999999997</v>
      </c>
      <c r="L65">
        <v>624</v>
      </c>
      <c r="M65">
        <v>0.34210526315789475</v>
      </c>
      <c r="N65">
        <v>3</v>
      </c>
      <c r="O65" t="s">
        <v>297</v>
      </c>
    </row>
    <row r="66" spans="1:15" x14ac:dyDescent="0.45">
      <c r="A66" s="5" t="s">
        <v>123</v>
      </c>
      <c r="B66" s="1">
        <v>45448</v>
      </c>
      <c r="C66" s="5" t="s">
        <v>81</v>
      </c>
      <c r="D66" s="5" t="s">
        <v>26</v>
      </c>
      <c r="E66" s="5" t="s">
        <v>49</v>
      </c>
      <c r="F66" s="5" t="s">
        <v>50</v>
      </c>
      <c r="G66" s="5" t="s">
        <v>82</v>
      </c>
      <c r="H66">
        <v>20</v>
      </c>
      <c r="I66">
        <v>0.15</v>
      </c>
      <c r="J66">
        <v>17850</v>
      </c>
      <c r="K66">
        <v>1071</v>
      </c>
      <c r="L66">
        <v>2650</v>
      </c>
      <c r="M66">
        <v>0.1484593837535014</v>
      </c>
      <c r="N66">
        <v>6</v>
      </c>
      <c r="O66" t="s">
        <v>299</v>
      </c>
    </row>
    <row r="67" spans="1:15" x14ac:dyDescent="0.45">
      <c r="A67" s="5" t="s">
        <v>124</v>
      </c>
      <c r="B67" s="1">
        <v>45398</v>
      </c>
      <c r="C67" s="5" t="s">
        <v>54</v>
      </c>
      <c r="D67" s="5" t="s">
        <v>14</v>
      </c>
      <c r="E67" s="5" t="s">
        <v>59</v>
      </c>
      <c r="F67" s="5" t="s">
        <v>50</v>
      </c>
      <c r="G67" s="5" t="s">
        <v>56</v>
      </c>
      <c r="H67">
        <v>3</v>
      </c>
      <c r="I67">
        <v>0</v>
      </c>
      <c r="J67">
        <v>720</v>
      </c>
      <c r="K67">
        <v>14.4</v>
      </c>
      <c r="L67">
        <v>270</v>
      </c>
      <c r="M67">
        <v>0.375</v>
      </c>
      <c r="N67">
        <v>4</v>
      </c>
      <c r="O67" t="s">
        <v>295</v>
      </c>
    </row>
    <row r="68" spans="1:15" x14ac:dyDescent="0.45">
      <c r="A68" s="5" t="s">
        <v>125</v>
      </c>
      <c r="B68" s="1">
        <v>45308</v>
      </c>
      <c r="C68" s="5" t="s">
        <v>54</v>
      </c>
      <c r="D68" s="5" t="s">
        <v>14</v>
      </c>
      <c r="E68" s="5" t="s">
        <v>59</v>
      </c>
      <c r="F68" s="5" t="s">
        <v>50</v>
      </c>
      <c r="G68" s="5" t="s">
        <v>56</v>
      </c>
      <c r="H68">
        <v>10</v>
      </c>
      <c r="I68">
        <v>0.05</v>
      </c>
      <c r="J68">
        <v>2280</v>
      </c>
      <c r="K68">
        <v>45.6</v>
      </c>
      <c r="L68">
        <v>780</v>
      </c>
      <c r="M68">
        <v>0.34210526315789475</v>
      </c>
      <c r="N68">
        <v>1</v>
      </c>
      <c r="O68" t="s">
        <v>305</v>
      </c>
    </row>
    <row r="69" spans="1:15" x14ac:dyDescent="0.45">
      <c r="A69" s="5" t="s">
        <v>126</v>
      </c>
      <c r="B69" s="1">
        <v>45328</v>
      </c>
      <c r="C69" s="5" t="s">
        <v>54</v>
      </c>
      <c r="D69" s="5" t="s">
        <v>38</v>
      </c>
      <c r="E69" s="5" t="s">
        <v>55</v>
      </c>
      <c r="F69" s="5" t="s">
        <v>50</v>
      </c>
      <c r="G69" s="5" t="s">
        <v>56</v>
      </c>
      <c r="H69">
        <v>21</v>
      </c>
      <c r="I69">
        <v>0.2</v>
      </c>
      <c r="J69">
        <v>2688</v>
      </c>
      <c r="K69">
        <v>53.76</v>
      </c>
      <c r="L69">
        <v>840</v>
      </c>
      <c r="M69">
        <v>0.3125</v>
      </c>
      <c r="N69">
        <v>2</v>
      </c>
      <c r="O69" t="s">
        <v>302</v>
      </c>
    </row>
    <row r="70" spans="1:15" x14ac:dyDescent="0.45">
      <c r="A70" s="5" t="s">
        <v>127</v>
      </c>
      <c r="B70" s="1">
        <v>45596</v>
      </c>
      <c r="C70" s="5" t="s">
        <v>81</v>
      </c>
      <c r="D70" s="5" t="s">
        <v>38</v>
      </c>
      <c r="E70" s="5" t="s">
        <v>55</v>
      </c>
      <c r="F70" s="5" t="s">
        <v>50</v>
      </c>
      <c r="G70" s="5" t="s">
        <v>82</v>
      </c>
      <c r="H70">
        <v>15</v>
      </c>
      <c r="I70">
        <v>0.1</v>
      </c>
      <c r="J70">
        <v>2160</v>
      </c>
      <c r="K70">
        <v>43.2</v>
      </c>
      <c r="L70">
        <v>840</v>
      </c>
      <c r="M70">
        <v>0.3888888888888889</v>
      </c>
      <c r="N70">
        <v>10</v>
      </c>
      <c r="O70" t="s">
        <v>298</v>
      </c>
    </row>
    <row r="71" spans="1:15" x14ac:dyDescent="0.45">
      <c r="A71" s="5" t="s">
        <v>128</v>
      </c>
      <c r="B71" s="1">
        <v>45531</v>
      </c>
      <c r="C71" s="5" t="s">
        <v>58</v>
      </c>
      <c r="D71" s="5" t="s">
        <v>31</v>
      </c>
      <c r="E71" s="5" t="s">
        <v>55</v>
      </c>
      <c r="F71" s="5" t="s">
        <v>50</v>
      </c>
      <c r="G71" s="5" t="s">
        <v>60</v>
      </c>
      <c r="H71">
        <v>9</v>
      </c>
      <c r="I71">
        <v>0.05</v>
      </c>
      <c r="J71">
        <v>812.25</v>
      </c>
      <c r="K71">
        <v>16.245000000000001</v>
      </c>
      <c r="L71">
        <v>416.25</v>
      </c>
      <c r="M71">
        <v>0.51246537396121883</v>
      </c>
      <c r="N71">
        <v>8</v>
      </c>
      <c r="O71" t="s">
        <v>304</v>
      </c>
    </row>
    <row r="72" spans="1:15" x14ac:dyDescent="0.45">
      <c r="A72" s="5" t="s">
        <v>129</v>
      </c>
      <c r="B72" s="1">
        <v>45601</v>
      </c>
      <c r="C72" s="5" t="s">
        <v>58</v>
      </c>
      <c r="D72" s="5" t="s">
        <v>5</v>
      </c>
      <c r="E72" s="5" t="s">
        <v>49</v>
      </c>
      <c r="F72" s="5" t="s">
        <v>50</v>
      </c>
      <c r="G72" s="5" t="s">
        <v>60</v>
      </c>
      <c r="H72">
        <v>8</v>
      </c>
      <c r="I72">
        <v>0.05</v>
      </c>
      <c r="J72">
        <v>190</v>
      </c>
      <c r="K72">
        <v>3.8</v>
      </c>
      <c r="L72">
        <v>102</v>
      </c>
      <c r="M72">
        <v>0.5368421052631579</v>
      </c>
      <c r="N72">
        <v>11</v>
      </c>
      <c r="O72" t="s">
        <v>296</v>
      </c>
    </row>
    <row r="73" spans="1:15" x14ac:dyDescent="0.45">
      <c r="A73" s="5" t="s">
        <v>130</v>
      </c>
      <c r="B73" s="1">
        <v>45636</v>
      </c>
      <c r="C73" s="5" t="s">
        <v>58</v>
      </c>
      <c r="D73" s="5" t="s">
        <v>26</v>
      </c>
      <c r="E73" s="5" t="s">
        <v>49</v>
      </c>
      <c r="F73" s="5" t="s">
        <v>50</v>
      </c>
      <c r="G73" s="5" t="s">
        <v>60</v>
      </c>
      <c r="H73">
        <v>25</v>
      </c>
      <c r="I73">
        <v>0.2</v>
      </c>
      <c r="J73">
        <v>21000</v>
      </c>
      <c r="K73">
        <v>1260</v>
      </c>
      <c r="L73">
        <v>2000</v>
      </c>
      <c r="M73">
        <v>9.5238095238095233E-2</v>
      </c>
      <c r="N73">
        <v>12</v>
      </c>
      <c r="O73" t="s">
        <v>301</v>
      </c>
    </row>
    <row r="74" spans="1:15" x14ac:dyDescent="0.45">
      <c r="A74" s="5" t="s">
        <v>131</v>
      </c>
      <c r="B74" s="1">
        <v>45532</v>
      </c>
      <c r="C74" s="5" t="s">
        <v>48</v>
      </c>
      <c r="D74" s="5" t="s">
        <v>28</v>
      </c>
      <c r="E74" s="5" t="s">
        <v>55</v>
      </c>
      <c r="F74" s="5" t="s">
        <v>50</v>
      </c>
      <c r="G74" s="5" t="s">
        <v>51</v>
      </c>
      <c r="H74">
        <v>9</v>
      </c>
      <c r="I74">
        <v>0.05</v>
      </c>
      <c r="J74">
        <v>1795.5</v>
      </c>
      <c r="K74">
        <v>35.909999999999997</v>
      </c>
      <c r="L74">
        <v>715.5</v>
      </c>
      <c r="M74">
        <v>0.39849624060150374</v>
      </c>
      <c r="N74">
        <v>8</v>
      </c>
      <c r="O74" t="s">
        <v>304</v>
      </c>
    </row>
    <row r="75" spans="1:15" x14ac:dyDescent="0.45">
      <c r="A75" s="5" t="s">
        <v>132</v>
      </c>
      <c r="B75" s="1">
        <v>45319</v>
      </c>
      <c r="C75" s="5" t="s">
        <v>54</v>
      </c>
      <c r="D75" s="5" t="s">
        <v>24</v>
      </c>
      <c r="E75" s="5" t="s">
        <v>55</v>
      </c>
      <c r="F75" s="5" t="s">
        <v>50</v>
      </c>
      <c r="G75" s="5" t="s">
        <v>56</v>
      </c>
      <c r="H75">
        <v>20</v>
      </c>
      <c r="I75">
        <v>0.15</v>
      </c>
      <c r="J75">
        <v>29750</v>
      </c>
      <c r="K75">
        <v>1785</v>
      </c>
      <c r="L75">
        <v>3750</v>
      </c>
      <c r="M75">
        <v>0.12605042016806722</v>
      </c>
      <c r="N75">
        <v>1</v>
      </c>
      <c r="O75" t="s">
        <v>305</v>
      </c>
    </row>
    <row r="76" spans="1:15" x14ac:dyDescent="0.45">
      <c r="A76" s="5" t="s">
        <v>133</v>
      </c>
      <c r="B76" s="1">
        <v>45451</v>
      </c>
      <c r="C76" s="5" t="s">
        <v>48</v>
      </c>
      <c r="D76" s="5" t="s">
        <v>5</v>
      </c>
      <c r="E76" s="5" t="s">
        <v>59</v>
      </c>
      <c r="F76" s="5" t="s">
        <v>50</v>
      </c>
      <c r="G76" s="5" t="s">
        <v>51</v>
      </c>
      <c r="H76">
        <v>14</v>
      </c>
      <c r="I76">
        <v>0.1</v>
      </c>
      <c r="J76">
        <v>315</v>
      </c>
      <c r="K76">
        <v>6.3</v>
      </c>
      <c r="L76">
        <v>161</v>
      </c>
      <c r="M76">
        <v>0.51111111111111107</v>
      </c>
      <c r="N76">
        <v>6</v>
      </c>
      <c r="O76" t="s">
        <v>299</v>
      </c>
    </row>
    <row r="77" spans="1:15" x14ac:dyDescent="0.45">
      <c r="A77" s="5" t="s">
        <v>134</v>
      </c>
      <c r="B77" s="1">
        <v>45547</v>
      </c>
      <c r="C77" s="5" t="s">
        <v>58</v>
      </c>
      <c r="D77" s="5" t="s">
        <v>24</v>
      </c>
      <c r="E77" s="5" t="s">
        <v>59</v>
      </c>
      <c r="F77" s="5" t="s">
        <v>50</v>
      </c>
      <c r="G77" s="5" t="s">
        <v>60</v>
      </c>
      <c r="H77">
        <v>9</v>
      </c>
      <c r="I77">
        <v>0.05</v>
      </c>
      <c r="J77">
        <v>14962.5</v>
      </c>
      <c r="K77">
        <v>598.5</v>
      </c>
      <c r="L77">
        <v>3262.5</v>
      </c>
      <c r="M77">
        <v>0.21804511278195488</v>
      </c>
      <c r="N77">
        <v>9</v>
      </c>
      <c r="O77" t="s">
        <v>300</v>
      </c>
    </row>
    <row r="78" spans="1:15" x14ac:dyDescent="0.45">
      <c r="A78" s="5" t="s">
        <v>135</v>
      </c>
      <c r="B78" s="1">
        <v>45488</v>
      </c>
      <c r="C78" s="5" t="s">
        <v>54</v>
      </c>
      <c r="D78" s="5" t="s">
        <v>38</v>
      </c>
      <c r="E78" s="5" t="s">
        <v>59</v>
      </c>
      <c r="F78" s="5" t="s">
        <v>50</v>
      </c>
      <c r="G78" s="5" t="s">
        <v>56</v>
      </c>
      <c r="H78">
        <v>17</v>
      </c>
      <c r="I78">
        <v>0.15</v>
      </c>
      <c r="J78">
        <v>2312</v>
      </c>
      <c r="K78">
        <v>46.24</v>
      </c>
      <c r="L78">
        <v>816</v>
      </c>
      <c r="M78">
        <v>0.35294117647058826</v>
      </c>
      <c r="N78">
        <v>7</v>
      </c>
      <c r="O78" t="s">
        <v>306</v>
      </c>
    </row>
    <row r="79" spans="1:15" x14ac:dyDescent="0.45">
      <c r="A79" s="5" t="s">
        <v>136</v>
      </c>
      <c r="B79" s="1">
        <v>45327</v>
      </c>
      <c r="C79" s="5" t="s">
        <v>58</v>
      </c>
      <c r="D79" s="5" t="s">
        <v>33</v>
      </c>
      <c r="E79" s="5" t="s">
        <v>55</v>
      </c>
      <c r="F79" s="5" t="s">
        <v>50</v>
      </c>
      <c r="G79" s="5" t="s">
        <v>60</v>
      </c>
      <c r="H79">
        <v>11</v>
      </c>
      <c r="I79">
        <v>0.1</v>
      </c>
      <c r="J79">
        <v>1287</v>
      </c>
      <c r="K79">
        <v>25.74</v>
      </c>
      <c r="L79">
        <v>605</v>
      </c>
      <c r="M79">
        <v>0.47008547008547008</v>
      </c>
      <c r="N79">
        <v>2</v>
      </c>
      <c r="O79" t="s">
        <v>302</v>
      </c>
    </row>
    <row r="80" spans="1:15" x14ac:dyDescent="0.45">
      <c r="A80" s="5" t="s">
        <v>137</v>
      </c>
      <c r="B80" s="1">
        <v>45293</v>
      </c>
      <c r="C80" s="5" t="s">
        <v>58</v>
      </c>
      <c r="D80" s="5" t="s">
        <v>31</v>
      </c>
      <c r="E80" s="5" t="s">
        <v>55</v>
      </c>
      <c r="F80" s="5" t="s">
        <v>50</v>
      </c>
      <c r="G80" s="5" t="s">
        <v>60</v>
      </c>
      <c r="H80">
        <v>19</v>
      </c>
      <c r="I80">
        <v>0.15</v>
      </c>
      <c r="J80">
        <v>1534.25</v>
      </c>
      <c r="K80">
        <v>30.684999999999999</v>
      </c>
      <c r="L80">
        <v>698.25</v>
      </c>
      <c r="M80">
        <v>0.45510835913312692</v>
      </c>
      <c r="N80">
        <v>1</v>
      </c>
      <c r="O80" t="s">
        <v>305</v>
      </c>
    </row>
    <row r="81" spans="1:15" x14ac:dyDescent="0.45">
      <c r="A81" s="5" t="s">
        <v>138</v>
      </c>
      <c r="B81" s="1">
        <v>45574</v>
      </c>
      <c r="C81" s="5" t="s">
        <v>48</v>
      </c>
      <c r="D81" s="5" t="s">
        <v>19</v>
      </c>
      <c r="E81" s="5" t="s">
        <v>55</v>
      </c>
      <c r="F81" s="5" t="s">
        <v>50</v>
      </c>
      <c r="G81" s="5" t="s">
        <v>51</v>
      </c>
      <c r="H81">
        <v>11</v>
      </c>
      <c r="I81">
        <v>0.1</v>
      </c>
      <c r="J81">
        <v>1782</v>
      </c>
      <c r="K81">
        <v>35.64</v>
      </c>
      <c r="L81">
        <v>627</v>
      </c>
      <c r="M81">
        <v>0.35185185185185186</v>
      </c>
      <c r="N81">
        <v>10</v>
      </c>
      <c r="O81" t="s">
        <v>298</v>
      </c>
    </row>
    <row r="82" spans="1:15" x14ac:dyDescent="0.45">
      <c r="A82" s="5" t="s">
        <v>139</v>
      </c>
      <c r="B82" s="1">
        <v>45649</v>
      </c>
      <c r="C82" s="5" t="s">
        <v>54</v>
      </c>
      <c r="D82" s="5" t="s">
        <v>26</v>
      </c>
      <c r="E82" s="5" t="s">
        <v>55</v>
      </c>
      <c r="F82" s="5" t="s">
        <v>50</v>
      </c>
      <c r="G82" s="5" t="s">
        <v>56</v>
      </c>
      <c r="H82">
        <v>8</v>
      </c>
      <c r="I82">
        <v>0.05</v>
      </c>
      <c r="J82">
        <v>7980</v>
      </c>
      <c r="K82">
        <v>319.2</v>
      </c>
      <c r="L82">
        <v>1900</v>
      </c>
      <c r="M82">
        <v>0.23809523809523808</v>
      </c>
      <c r="N82">
        <v>12</v>
      </c>
      <c r="O82" t="s">
        <v>301</v>
      </c>
    </row>
    <row r="83" spans="1:15" x14ac:dyDescent="0.45">
      <c r="A83" s="5" t="s">
        <v>140</v>
      </c>
      <c r="B83" s="1">
        <v>45532</v>
      </c>
      <c r="C83" s="5" t="s">
        <v>58</v>
      </c>
      <c r="D83" s="5" t="s">
        <v>17</v>
      </c>
      <c r="E83" s="5" t="s">
        <v>59</v>
      </c>
      <c r="F83" s="5" t="s">
        <v>50</v>
      </c>
      <c r="G83" s="5" t="s">
        <v>60</v>
      </c>
      <c r="H83">
        <v>23</v>
      </c>
      <c r="I83">
        <v>0.2</v>
      </c>
      <c r="J83">
        <v>9568</v>
      </c>
      <c r="K83">
        <v>382.72</v>
      </c>
      <c r="L83">
        <v>1288</v>
      </c>
      <c r="M83">
        <v>0.13461538461538461</v>
      </c>
      <c r="N83">
        <v>8</v>
      </c>
      <c r="O83" t="s">
        <v>304</v>
      </c>
    </row>
    <row r="84" spans="1:15" x14ac:dyDescent="0.45">
      <c r="A84" s="5" t="s">
        <v>141</v>
      </c>
      <c r="B84" s="1">
        <v>45412</v>
      </c>
      <c r="C84" s="5" t="s">
        <v>58</v>
      </c>
      <c r="D84" s="5" t="s">
        <v>12</v>
      </c>
      <c r="E84" s="5" t="s">
        <v>59</v>
      </c>
      <c r="F84" s="5" t="s">
        <v>50</v>
      </c>
      <c r="G84" s="5" t="s">
        <v>60</v>
      </c>
      <c r="H84">
        <v>3</v>
      </c>
      <c r="I84">
        <v>0</v>
      </c>
      <c r="J84">
        <v>105</v>
      </c>
      <c r="K84">
        <v>2.1</v>
      </c>
      <c r="L84">
        <v>63</v>
      </c>
      <c r="M84">
        <v>0.6</v>
      </c>
      <c r="N84">
        <v>4</v>
      </c>
      <c r="O84" t="s">
        <v>295</v>
      </c>
    </row>
    <row r="85" spans="1:15" x14ac:dyDescent="0.45">
      <c r="A85" s="5" t="s">
        <v>142</v>
      </c>
      <c r="B85" s="1">
        <v>45619</v>
      </c>
      <c r="C85" s="5" t="s">
        <v>143</v>
      </c>
      <c r="D85" s="5" t="s">
        <v>5</v>
      </c>
      <c r="E85" s="5" t="s">
        <v>59</v>
      </c>
      <c r="F85" s="5" t="s">
        <v>144</v>
      </c>
      <c r="G85" s="5" t="s">
        <v>145</v>
      </c>
      <c r="H85">
        <v>9</v>
      </c>
      <c r="I85">
        <v>0.05</v>
      </c>
      <c r="J85">
        <v>213.75</v>
      </c>
      <c r="K85">
        <v>4.2750000000000004</v>
      </c>
      <c r="L85">
        <v>114.75</v>
      </c>
      <c r="M85">
        <v>0.5368421052631579</v>
      </c>
      <c r="N85">
        <v>11</v>
      </c>
      <c r="O85" t="s">
        <v>296</v>
      </c>
    </row>
    <row r="86" spans="1:15" x14ac:dyDescent="0.45">
      <c r="A86" s="5" t="s">
        <v>146</v>
      </c>
      <c r="B86" s="1">
        <v>45594</v>
      </c>
      <c r="C86" s="5" t="s">
        <v>147</v>
      </c>
      <c r="D86" s="5" t="s">
        <v>5</v>
      </c>
      <c r="E86" s="5" t="s">
        <v>49</v>
      </c>
      <c r="F86" s="5" t="s">
        <v>144</v>
      </c>
      <c r="G86" s="5" t="s">
        <v>148</v>
      </c>
      <c r="H86">
        <v>3</v>
      </c>
      <c r="I86">
        <v>0</v>
      </c>
      <c r="J86">
        <v>75</v>
      </c>
      <c r="K86">
        <v>1.5</v>
      </c>
      <c r="L86">
        <v>42</v>
      </c>
      <c r="M86">
        <v>0.56000000000000005</v>
      </c>
      <c r="N86">
        <v>10</v>
      </c>
      <c r="O86" t="s">
        <v>298</v>
      </c>
    </row>
    <row r="87" spans="1:15" x14ac:dyDescent="0.45">
      <c r="A87" s="5" t="s">
        <v>149</v>
      </c>
      <c r="B87" s="1">
        <v>45486</v>
      </c>
      <c r="C87" s="5" t="s">
        <v>143</v>
      </c>
      <c r="D87" s="5" t="s">
        <v>17</v>
      </c>
      <c r="E87" s="5" t="s">
        <v>55</v>
      </c>
      <c r="F87" s="5" t="s">
        <v>144</v>
      </c>
      <c r="G87" s="5" t="s">
        <v>145</v>
      </c>
      <c r="H87">
        <v>20</v>
      </c>
      <c r="I87">
        <v>0.15</v>
      </c>
      <c r="J87">
        <v>8840</v>
      </c>
      <c r="K87">
        <v>353.6</v>
      </c>
      <c r="L87">
        <v>1640</v>
      </c>
      <c r="M87">
        <v>0.18552036199095023</v>
      </c>
      <c r="N87">
        <v>7</v>
      </c>
      <c r="O87" t="s">
        <v>306</v>
      </c>
    </row>
    <row r="88" spans="1:15" x14ac:dyDescent="0.45">
      <c r="A88" s="5" t="s">
        <v>150</v>
      </c>
      <c r="B88" s="1">
        <v>45440</v>
      </c>
      <c r="C88" s="5" t="s">
        <v>143</v>
      </c>
      <c r="D88" s="5" t="s">
        <v>35</v>
      </c>
      <c r="E88" s="5" t="s">
        <v>49</v>
      </c>
      <c r="F88" s="5" t="s">
        <v>144</v>
      </c>
      <c r="G88" s="5" t="s">
        <v>145</v>
      </c>
      <c r="H88">
        <v>4</v>
      </c>
      <c r="I88">
        <v>0</v>
      </c>
      <c r="J88">
        <v>440</v>
      </c>
      <c r="K88">
        <v>8.8000000000000007</v>
      </c>
      <c r="L88">
        <v>220</v>
      </c>
      <c r="M88">
        <v>0.5</v>
      </c>
      <c r="N88">
        <v>5</v>
      </c>
      <c r="O88" t="s">
        <v>303</v>
      </c>
    </row>
    <row r="89" spans="1:15" x14ac:dyDescent="0.45">
      <c r="A89" s="5" t="s">
        <v>151</v>
      </c>
      <c r="B89" s="1">
        <v>45528</v>
      </c>
      <c r="C89" s="5" t="s">
        <v>147</v>
      </c>
      <c r="D89" s="5" t="s">
        <v>14</v>
      </c>
      <c r="E89" s="5" t="s">
        <v>59</v>
      </c>
      <c r="F89" s="5" t="s">
        <v>144</v>
      </c>
      <c r="G89" s="5" t="s">
        <v>148</v>
      </c>
      <c r="H89">
        <v>23</v>
      </c>
      <c r="I89">
        <v>0.2</v>
      </c>
      <c r="J89">
        <v>4416</v>
      </c>
      <c r="K89">
        <v>88.32</v>
      </c>
      <c r="L89">
        <v>966</v>
      </c>
      <c r="M89">
        <v>0.21875</v>
      </c>
      <c r="N89">
        <v>8</v>
      </c>
      <c r="O89" t="s">
        <v>304</v>
      </c>
    </row>
    <row r="90" spans="1:15" x14ac:dyDescent="0.45">
      <c r="A90" s="5" t="s">
        <v>152</v>
      </c>
      <c r="B90" s="1">
        <v>45642</v>
      </c>
      <c r="C90" s="5" t="s">
        <v>153</v>
      </c>
      <c r="D90" s="5" t="s">
        <v>35</v>
      </c>
      <c r="E90" s="5" t="s">
        <v>49</v>
      </c>
      <c r="F90" s="5" t="s">
        <v>144</v>
      </c>
      <c r="G90" s="5" t="s">
        <v>154</v>
      </c>
      <c r="H90">
        <v>8</v>
      </c>
      <c r="I90">
        <v>0.05</v>
      </c>
      <c r="J90">
        <v>836</v>
      </c>
      <c r="K90">
        <v>16.72</v>
      </c>
      <c r="L90">
        <v>396</v>
      </c>
      <c r="M90">
        <v>0.47368421052631576</v>
      </c>
      <c r="N90">
        <v>12</v>
      </c>
      <c r="O90" t="s">
        <v>301</v>
      </c>
    </row>
    <row r="91" spans="1:15" x14ac:dyDescent="0.45">
      <c r="A91" s="5" t="s">
        <v>155</v>
      </c>
      <c r="B91" s="1">
        <v>45453</v>
      </c>
      <c r="C91" s="5" t="s">
        <v>147</v>
      </c>
      <c r="D91" s="5" t="s">
        <v>14</v>
      </c>
      <c r="E91" s="5" t="s">
        <v>49</v>
      </c>
      <c r="F91" s="5" t="s">
        <v>144</v>
      </c>
      <c r="G91" s="5" t="s">
        <v>148</v>
      </c>
      <c r="H91">
        <v>7</v>
      </c>
      <c r="I91">
        <v>0.05</v>
      </c>
      <c r="J91">
        <v>1596</v>
      </c>
      <c r="K91">
        <v>31.92</v>
      </c>
      <c r="L91">
        <v>546</v>
      </c>
      <c r="M91">
        <v>0.34210526315789475</v>
      </c>
      <c r="N91">
        <v>6</v>
      </c>
      <c r="O91" t="s">
        <v>299</v>
      </c>
    </row>
    <row r="92" spans="1:15" x14ac:dyDescent="0.45">
      <c r="A92" s="5" t="s">
        <v>156</v>
      </c>
      <c r="B92" s="1">
        <v>45591</v>
      </c>
      <c r="C92" s="5" t="s">
        <v>147</v>
      </c>
      <c r="D92" s="5" t="s">
        <v>38</v>
      </c>
      <c r="E92" s="5" t="s">
        <v>59</v>
      </c>
      <c r="F92" s="5" t="s">
        <v>144</v>
      </c>
      <c r="G92" s="5" t="s">
        <v>148</v>
      </c>
      <c r="H92">
        <v>13</v>
      </c>
      <c r="I92">
        <v>0.1</v>
      </c>
      <c r="J92">
        <v>1872</v>
      </c>
      <c r="K92">
        <v>37.44</v>
      </c>
      <c r="L92">
        <v>728</v>
      </c>
      <c r="M92">
        <v>0.3888888888888889</v>
      </c>
      <c r="N92">
        <v>10</v>
      </c>
      <c r="O92" t="s">
        <v>298</v>
      </c>
    </row>
    <row r="93" spans="1:15" x14ac:dyDescent="0.45">
      <c r="A93" s="5" t="s">
        <v>157</v>
      </c>
      <c r="B93" s="1">
        <v>45597</v>
      </c>
      <c r="C93" s="5" t="s">
        <v>143</v>
      </c>
      <c r="D93" s="5" t="s">
        <v>19</v>
      </c>
      <c r="E93" s="5" t="s">
        <v>55</v>
      </c>
      <c r="F93" s="5" t="s">
        <v>144</v>
      </c>
      <c r="G93" s="5" t="s">
        <v>145</v>
      </c>
      <c r="H93">
        <v>20</v>
      </c>
      <c r="I93">
        <v>0.15</v>
      </c>
      <c r="J93">
        <v>3060</v>
      </c>
      <c r="K93">
        <v>61.2</v>
      </c>
      <c r="L93">
        <v>960</v>
      </c>
      <c r="M93">
        <v>0.31372549019607843</v>
      </c>
      <c r="N93">
        <v>11</v>
      </c>
      <c r="O93" t="s">
        <v>296</v>
      </c>
    </row>
    <row r="94" spans="1:15" x14ac:dyDescent="0.45">
      <c r="A94" s="5" t="s">
        <v>158</v>
      </c>
      <c r="B94" s="1">
        <v>45370</v>
      </c>
      <c r="C94" s="5" t="s">
        <v>153</v>
      </c>
      <c r="D94" s="5" t="s">
        <v>33</v>
      </c>
      <c r="E94" s="5" t="s">
        <v>49</v>
      </c>
      <c r="F94" s="5" t="s">
        <v>144</v>
      </c>
      <c r="G94" s="5" t="s">
        <v>154</v>
      </c>
      <c r="H94">
        <v>18</v>
      </c>
      <c r="I94">
        <v>0.15</v>
      </c>
      <c r="J94">
        <v>1989</v>
      </c>
      <c r="K94">
        <v>39.78</v>
      </c>
      <c r="L94">
        <v>873</v>
      </c>
      <c r="M94">
        <v>0.43891402714932126</v>
      </c>
      <c r="N94">
        <v>3</v>
      </c>
      <c r="O94" t="s">
        <v>297</v>
      </c>
    </row>
    <row r="95" spans="1:15" x14ac:dyDescent="0.45">
      <c r="A95" s="5" t="s">
        <v>159</v>
      </c>
      <c r="B95" s="1">
        <v>45598</v>
      </c>
      <c r="C95" s="5" t="s">
        <v>153</v>
      </c>
      <c r="D95" s="5" t="s">
        <v>21</v>
      </c>
      <c r="E95" s="5" t="s">
        <v>49</v>
      </c>
      <c r="F95" s="5" t="s">
        <v>144</v>
      </c>
      <c r="G95" s="5" t="s">
        <v>154</v>
      </c>
      <c r="H95">
        <v>4</v>
      </c>
      <c r="I95">
        <v>0</v>
      </c>
      <c r="J95">
        <v>4600</v>
      </c>
      <c r="K95">
        <v>92</v>
      </c>
      <c r="L95">
        <v>1320</v>
      </c>
      <c r="M95">
        <v>0.28695652173913044</v>
      </c>
      <c r="N95">
        <v>11</v>
      </c>
      <c r="O95" t="s">
        <v>296</v>
      </c>
    </row>
    <row r="96" spans="1:15" x14ac:dyDescent="0.45">
      <c r="A96" s="5" t="s">
        <v>160</v>
      </c>
      <c r="B96" s="1">
        <v>45324</v>
      </c>
      <c r="C96" s="5" t="s">
        <v>153</v>
      </c>
      <c r="D96" s="5" t="s">
        <v>5</v>
      </c>
      <c r="E96" s="5" t="s">
        <v>59</v>
      </c>
      <c r="F96" s="5" t="s">
        <v>144</v>
      </c>
      <c r="G96" s="5" t="s">
        <v>154</v>
      </c>
      <c r="H96">
        <v>18</v>
      </c>
      <c r="I96">
        <v>0.15</v>
      </c>
      <c r="J96">
        <v>382.5</v>
      </c>
      <c r="K96">
        <v>7.65</v>
      </c>
      <c r="L96">
        <v>184.5</v>
      </c>
      <c r="M96">
        <v>0.4823529411764706</v>
      </c>
      <c r="N96">
        <v>2</v>
      </c>
      <c r="O96" t="s">
        <v>302</v>
      </c>
    </row>
    <row r="97" spans="1:15" x14ac:dyDescent="0.45">
      <c r="A97" s="5" t="s">
        <v>161</v>
      </c>
      <c r="B97" s="1">
        <v>45409</v>
      </c>
      <c r="C97" s="5" t="s">
        <v>143</v>
      </c>
      <c r="D97" s="5" t="s">
        <v>38</v>
      </c>
      <c r="E97" s="5" t="s">
        <v>49</v>
      </c>
      <c r="F97" s="5" t="s">
        <v>144</v>
      </c>
      <c r="G97" s="5" t="s">
        <v>145</v>
      </c>
      <c r="H97">
        <v>11</v>
      </c>
      <c r="I97">
        <v>0.1</v>
      </c>
      <c r="J97">
        <v>1584</v>
      </c>
      <c r="K97">
        <v>31.68</v>
      </c>
      <c r="L97">
        <v>616</v>
      </c>
      <c r="M97">
        <v>0.3888888888888889</v>
      </c>
      <c r="N97">
        <v>4</v>
      </c>
      <c r="O97" t="s">
        <v>295</v>
      </c>
    </row>
    <row r="98" spans="1:15" x14ac:dyDescent="0.45">
      <c r="A98" s="5" t="s">
        <v>162</v>
      </c>
      <c r="B98" s="1">
        <v>45341</v>
      </c>
      <c r="C98" s="5" t="s">
        <v>147</v>
      </c>
      <c r="D98" s="5" t="s">
        <v>17</v>
      </c>
      <c r="E98" s="5" t="s">
        <v>55</v>
      </c>
      <c r="F98" s="5" t="s">
        <v>144</v>
      </c>
      <c r="G98" s="5" t="s">
        <v>148</v>
      </c>
      <c r="H98">
        <v>14</v>
      </c>
      <c r="I98">
        <v>0.1</v>
      </c>
      <c r="J98">
        <v>6552</v>
      </c>
      <c r="K98">
        <v>262.08</v>
      </c>
      <c r="L98">
        <v>1512</v>
      </c>
      <c r="M98">
        <v>0.23076923076923078</v>
      </c>
      <c r="N98">
        <v>2</v>
      </c>
      <c r="O98" t="s">
        <v>302</v>
      </c>
    </row>
    <row r="99" spans="1:15" x14ac:dyDescent="0.45">
      <c r="A99" s="5" t="s">
        <v>163</v>
      </c>
      <c r="B99" s="1">
        <v>45319</v>
      </c>
      <c r="C99" s="5" t="s">
        <v>143</v>
      </c>
      <c r="D99" s="5" t="s">
        <v>5</v>
      </c>
      <c r="E99" s="5" t="s">
        <v>55</v>
      </c>
      <c r="F99" s="5" t="s">
        <v>144</v>
      </c>
      <c r="G99" s="5" t="s">
        <v>145</v>
      </c>
      <c r="H99">
        <v>24</v>
      </c>
      <c r="I99">
        <v>0.2</v>
      </c>
      <c r="J99">
        <v>480</v>
      </c>
      <c r="K99">
        <v>9.6</v>
      </c>
      <c r="L99">
        <v>216</v>
      </c>
      <c r="M99">
        <v>0.45</v>
      </c>
      <c r="N99">
        <v>1</v>
      </c>
      <c r="O99" t="s">
        <v>305</v>
      </c>
    </row>
    <row r="100" spans="1:15" x14ac:dyDescent="0.45">
      <c r="A100" s="5" t="s">
        <v>164</v>
      </c>
      <c r="B100" s="1">
        <v>45363</v>
      </c>
      <c r="C100" s="5" t="s">
        <v>147</v>
      </c>
      <c r="D100" s="5" t="s">
        <v>10</v>
      </c>
      <c r="E100" s="5" t="s">
        <v>55</v>
      </c>
      <c r="F100" s="5" t="s">
        <v>144</v>
      </c>
      <c r="G100" s="5" t="s">
        <v>148</v>
      </c>
      <c r="H100">
        <v>15</v>
      </c>
      <c r="I100">
        <v>0.1</v>
      </c>
      <c r="J100">
        <v>607.5</v>
      </c>
      <c r="K100">
        <v>12.15</v>
      </c>
      <c r="L100">
        <v>322.5</v>
      </c>
      <c r="M100">
        <v>0.53086419753086422</v>
      </c>
      <c r="N100">
        <v>3</v>
      </c>
      <c r="O100" t="s">
        <v>297</v>
      </c>
    </row>
    <row r="101" spans="1:15" x14ac:dyDescent="0.45">
      <c r="A101" s="5" t="s">
        <v>165</v>
      </c>
      <c r="B101" s="1">
        <v>45377</v>
      </c>
      <c r="C101" s="5" t="s">
        <v>147</v>
      </c>
      <c r="D101" s="5" t="s">
        <v>21</v>
      </c>
      <c r="E101" s="5" t="s">
        <v>55</v>
      </c>
      <c r="F101" s="5" t="s">
        <v>144</v>
      </c>
      <c r="G101" s="5" t="s">
        <v>148</v>
      </c>
      <c r="H101">
        <v>7</v>
      </c>
      <c r="I101">
        <v>0.05</v>
      </c>
      <c r="J101">
        <v>7647.5</v>
      </c>
      <c r="K101">
        <v>305.89999999999998</v>
      </c>
      <c r="L101">
        <v>1907.5</v>
      </c>
      <c r="M101">
        <v>0.2494279176201373</v>
      </c>
      <c r="N101">
        <v>3</v>
      </c>
      <c r="O101" t="s">
        <v>297</v>
      </c>
    </row>
    <row r="102" spans="1:15" x14ac:dyDescent="0.45">
      <c r="A102" s="5" t="s">
        <v>166</v>
      </c>
      <c r="B102" s="1">
        <v>45452</v>
      </c>
      <c r="C102" s="5" t="s">
        <v>167</v>
      </c>
      <c r="D102" s="5" t="s">
        <v>5</v>
      </c>
      <c r="E102" s="5" t="s">
        <v>59</v>
      </c>
      <c r="F102" s="5" t="s">
        <v>144</v>
      </c>
      <c r="G102" s="5" t="s">
        <v>168</v>
      </c>
      <c r="H102">
        <v>16</v>
      </c>
      <c r="I102">
        <v>0.15</v>
      </c>
      <c r="J102">
        <v>340</v>
      </c>
      <c r="K102">
        <v>6.8</v>
      </c>
      <c r="L102">
        <v>164</v>
      </c>
      <c r="M102">
        <v>0.4823529411764706</v>
      </c>
      <c r="N102">
        <v>6</v>
      </c>
      <c r="O102" t="s">
        <v>299</v>
      </c>
    </row>
    <row r="103" spans="1:15" x14ac:dyDescent="0.45">
      <c r="A103" s="5" t="s">
        <v>169</v>
      </c>
      <c r="B103" s="1">
        <v>45396</v>
      </c>
      <c r="C103" s="5" t="s">
        <v>153</v>
      </c>
      <c r="D103" s="5" t="s">
        <v>12</v>
      </c>
      <c r="E103" s="5" t="s">
        <v>55</v>
      </c>
      <c r="F103" s="5" t="s">
        <v>144</v>
      </c>
      <c r="G103" s="5" t="s">
        <v>154</v>
      </c>
      <c r="H103">
        <v>13</v>
      </c>
      <c r="I103">
        <v>0.1</v>
      </c>
      <c r="J103">
        <v>409.5</v>
      </c>
      <c r="K103">
        <v>8.19</v>
      </c>
      <c r="L103">
        <v>227.5</v>
      </c>
      <c r="M103">
        <v>0.55555555555555558</v>
      </c>
      <c r="N103">
        <v>4</v>
      </c>
      <c r="O103" t="s">
        <v>295</v>
      </c>
    </row>
    <row r="104" spans="1:15" x14ac:dyDescent="0.45">
      <c r="A104" s="5" t="s">
        <v>170</v>
      </c>
      <c r="B104" s="1">
        <v>45427</v>
      </c>
      <c r="C104" s="5" t="s">
        <v>143</v>
      </c>
      <c r="D104" s="5" t="s">
        <v>38</v>
      </c>
      <c r="E104" s="5" t="s">
        <v>49</v>
      </c>
      <c r="F104" s="5" t="s">
        <v>144</v>
      </c>
      <c r="G104" s="5" t="s">
        <v>145</v>
      </c>
      <c r="H104">
        <v>24</v>
      </c>
      <c r="I104">
        <v>0.2</v>
      </c>
      <c r="J104">
        <v>3072</v>
      </c>
      <c r="K104">
        <v>61.44</v>
      </c>
      <c r="L104">
        <v>960</v>
      </c>
      <c r="M104">
        <v>0.3125</v>
      </c>
      <c r="N104">
        <v>5</v>
      </c>
      <c r="O104" t="s">
        <v>303</v>
      </c>
    </row>
    <row r="105" spans="1:15" x14ac:dyDescent="0.45">
      <c r="A105" s="5" t="s">
        <v>171</v>
      </c>
      <c r="B105" s="1">
        <v>45339</v>
      </c>
      <c r="C105" s="5" t="s">
        <v>147</v>
      </c>
      <c r="D105" s="5" t="s">
        <v>35</v>
      </c>
      <c r="E105" s="5" t="s">
        <v>55</v>
      </c>
      <c r="F105" s="5" t="s">
        <v>144</v>
      </c>
      <c r="G105" s="5" t="s">
        <v>148</v>
      </c>
      <c r="H105">
        <v>2</v>
      </c>
      <c r="I105">
        <v>0</v>
      </c>
      <c r="J105">
        <v>220</v>
      </c>
      <c r="K105">
        <v>4.4000000000000004</v>
      </c>
      <c r="L105">
        <v>110</v>
      </c>
      <c r="M105">
        <v>0.5</v>
      </c>
      <c r="N105">
        <v>2</v>
      </c>
      <c r="O105" t="s">
        <v>302</v>
      </c>
    </row>
    <row r="106" spans="1:15" x14ac:dyDescent="0.45">
      <c r="A106" s="5" t="s">
        <v>172</v>
      </c>
      <c r="B106" s="1">
        <v>45574</v>
      </c>
      <c r="C106" s="5" t="s">
        <v>147</v>
      </c>
      <c r="D106" s="5" t="s">
        <v>24</v>
      </c>
      <c r="E106" s="5" t="s">
        <v>49</v>
      </c>
      <c r="F106" s="5" t="s">
        <v>144</v>
      </c>
      <c r="G106" s="5" t="s">
        <v>148</v>
      </c>
      <c r="H106">
        <v>4</v>
      </c>
      <c r="I106">
        <v>0</v>
      </c>
      <c r="J106">
        <v>7000</v>
      </c>
      <c r="K106">
        <v>280</v>
      </c>
      <c r="L106">
        <v>1800</v>
      </c>
      <c r="M106">
        <v>0.25714285714285712</v>
      </c>
      <c r="N106">
        <v>10</v>
      </c>
      <c r="O106" t="s">
        <v>298</v>
      </c>
    </row>
    <row r="107" spans="1:15" x14ac:dyDescent="0.45">
      <c r="A107" s="5" t="s">
        <v>173</v>
      </c>
      <c r="B107" s="1">
        <v>45383</v>
      </c>
      <c r="C107" s="5" t="s">
        <v>153</v>
      </c>
      <c r="D107" s="5" t="s">
        <v>33</v>
      </c>
      <c r="E107" s="5" t="s">
        <v>55</v>
      </c>
      <c r="F107" s="5" t="s">
        <v>144</v>
      </c>
      <c r="G107" s="5" t="s">
        <v>154</v>
      </c>
      <c r="H107">
        <v>22</v>
      </c>
      <c r="I107">
        <v>0.2</v>
      </c>
      <c r="J107">
        <v>2288</v>
      </c>
      <c r="K107">
        <v>45.76</v>
      </c>
      <c r="L107">
        <v>924</v>
      </c>
      <c r="M107">
        <v>0.40384615384615385</v>
      </c>
      <c r="N107">
        <v>4</v>
      </c>
      <c r="O107" t="s">
        <v>295</v>
      </c>
    </row>
    <row r="108" spans="1:15" x14ac:dyDescent="0.45">
      <c r="A108" s="5" t="s">
        <v>174</v>
      </c>
      <c r="B108" s="1">
        <v>45496</v>
      </c>
      <c r="C108" s="5" t="s">
        <v>153</v>
      </c>
      <c r="D108" s="5" t="s">
        <v>14</v>
      </c>
      <c r="E108" s="5" t="s">
        <v>49</v>
      </c>
      <c r="F108" s="5" t="s">
        <v>144</v>
      </c>
      <c r="G108" s="5" t="s">
        <v>154</v>
      </c>
      <c r="H108">
        <v>25</v>
      </c>
      <c r="I108">
        <v>0.2</v>
      </c>
      <c r="J108">
        <v>4800</v>
      </c>
      <c r="K108">
        <v>96</v>
      </c>
      <c r="L108">
        <v>1050</v>
      </c>
      <c r="M108">
        <v>0.21875</v>
      </c>
      <c r="N108">
        <v>7</v>
      </c>
      <c r="O108" t="s">
        <v>306</v>
      </c>
    </row>
    <row r="109" spans="1:15" x14ac:dyDescent="0.45">
      <c r="A109" s="5" t="s">
        <v>175</v>
      </c>
      <c r="B109" s="1">
        <v>45306</v>
      </c>
      <c r="C109" s="5" t="s">
        <v>143</v>
      </c>
      <c r="D109" s="5" t="s">
        <v>38</v>
      </c>
      <c r="E109" s="5" t="s">
        <v>55</v>
      </c>
      <c r="F109" s="5" t="s">
        <v>144</v>
      </c>
      <c r="G109" s="5" t="s">
        <v>145</v>
      </c>
      <c r="H109">
        <v>6</v>
      </c>
      <c r="I109">
        <v>0.05</v>
      </c>
      <c r="J109">
        <v>912</v>
      </c>
      <c r="K109">
        <v>18.239999999999998</v>
      </c>
      <c r="L109">
        <v>384</v>
      </c>
      <c r="M109">
        <v>0.42105263157894735</v>
      </c>
      <c r="N109">
        <v>1</v>
      </c>
      <c r="O109" t="s">
        <v>305</v>
      </c>
    </row>
    <row r="110" spans="1:15" x14ac:dyDescent="0.45">
      <c r="A110" s="5" t="s">
        <v>176</v>
      </c>
      <c r="B110" s="1">
        <v>45311</v>
      </c>
      <c r="C110" s="5" t="s">
        <v>143</v>
      </c>
      <c r="D110" s="5" t="s">
        <v>26</v>
      </c>
      <c r="E110" s="5" t="s">
        <v>55</v>
      </c>
      <c r="F110" s="5" t="s">
        <v>144</v>
      </c>
      <c r="G110" s="5" t="s">
        <v>145</v>
      </c>
      <c r="H110">
        <v>12</v>
      </c>
      <c r="I110">
        <v>0.1</v>
      </c>
      <c r="J110">
        <v>11340</v>
      </c>
      <c r="K110">
        <v>453.6</v>
      </c>
      <c r="L110">
        <v>2220</v>
      </c>
      <c r="M110">
        <v>0.19576719576719576</v>
      </c>
      <c r="N110">
        <v>1</v>
      </c>
      <c r="O110" t="s">
        <v>305</v>
      </c>
    </row>
    <row r="111" spans="1:15" x14ac:dyDescent="0.45">
      <c r="A111" s="5" t="s">
        <v>177</v>
      </c>
      <c r="B111" s="1">
        <v>45422</v>
      </c>
      <c r="C111" s="5" t="s">
        <v>167</v>
      </c>
      <c r="D111" s="5" t="s">
        <v>31</v>
      </c>
      <c r="E111" s="5" t="s">
        <v>55</v>
      </c>
      <c r="F111" s="5" t="s">
        <v>144</v>
      </c>
      <c r="G111" s="5" t="s">
        <v>168</v>
      </c>
      <c r="H111">
        <v>1</v>
      </c>
      <c r="I111">
        <v>0</v>
      </c>
      <c r="J111">
        <v>95</v>
      </c>
      <c r="K111">
        <v>1.9</v>
      </c>
      <c r="L111">
        <v>51</v>
      </c>
      <c r="M111">
        <v>0.5368421052631579</v>
      </c>
      <c r="N111">
        <v>5</v>
      </c>
      <c r="O111" t="s">
        <v>303</v>
      </c>
    </row>
    <row r="112" spans="1:15" x14ac:dyDescent="0.45">
      <c r="A112" s="5" t="s">
        <v>178</v>
      </c>
      <c r="B112" s="1">
        <v>45478</v>
      </c>
      <c r="C112" s="5" t="s">
        <v>147</v>
      </c>
      <c r="D112" s="5" t="s">
        <v>8</v>
      </c>
      <c r="E112" s="5" t="s">
        <v>59</v>
      </c>
      <c r="F112" s="5" t="s">
        <v>144</v>
      </c>
      <c r="G112" s="5" t="s">
        <v>148</v>
      </c>
      <c r="H112">
        <v>11</v>
      </c>
      <c r="I112">
        <v>0.1</v>
      </c>
      <c r="J112">
        <v>782.1</v>
      </c>
      <c r="K112">
        <v>15.641999999999999</v>
      </c>
      <c r="L112">
        <v>364.1</v>
      </c>
      <c r="M112">
        <v>0.46554149085794655</v>
      </c>
      <c r="N112">
        <v>7</v>
      </c>
      <c r="O112" t="s">
        <v>306</v>
      </c>
    </row>
    <row r="113" spans="1:15" x14ac:dyDescent="0.45">
      <c r="A113" s="5" t="s">
        <v>179</v>
      </c>
      <c r="B113" s="1">
        <v>45631</v>
      </c>
      <c r="C113" s="5" t="s">
        <v>143</v>
      </c>
      <c r="D113" s="5" t="s">
        <v>31</v>
      </c>
      <c r="E113" s="5" t="s">
        <v>55</v>
      </c>
      <c r="F113" s="5" t="s">
        <v>144</v>
      </c>
      <c r="G113" s="5" t="s">
        <v>145</v>
      </c>
      <c r="H113">
        <v>17</v>
      </c>
      <c r="I113">
        <v>0.15</v>
      </c>
      <c r="J113">
        <v>1372.75</v>
      </c>
      <c r="K113">
        <v>27.454999999999998</v>
      </c>
      <c r="L113">
        <v>624.75</v>
      </c>
      <c r="M113">
        <v>0.45510835913312692</v>
      </c>
      <c r="N113">
        <v>12</v>
      </c>
      <c r="O113" t="s">
        <v>301</v>
      </c>
    </row>
    <row r="114" spans="1:15" x14ac:dyDescent="0.45">
      <c r="A114" s="5" t="s">
        <v>180</v>
      </c>
      <c r="B114" s="1">
        <v>45633</v>
      </c>
      <c r="C114" s="5" t="s">
        <v>147</v>
      </c>
      <c r="D114" s="5" t="s">
        <v>17</v>
      </c>
      <c r="E114" s="5" t="s">
        <v>55</v>
      </c>
      <c r="F114" s="5" t="s">
        <v>144</v>
      </c>
      <c r="G114" s="5" t="s">
        <v>148</v>
      </c>
      <c r="H114">
        <v>23</v>
      </c>
      <c r="I114">
        <v>0.2</v>
      </c>
      <c r="J114">
        <v>9568</v>
      </c>
      <c r="K114">
        <v>382.72</v>
      </c>
      <c r="L114">
        <v>1288</v>
      </c>
      <c r="M114">
        <v>0.13461538461538461</v>
      </c>
      <c r="N114">
        <v>12</v>
      </c>
      <c r="O114" t="s">
        <v>301</v>
      </c>
    </row>
    <row r="115" spans="1:15" x14ac:dyDescent="0.45">
      <c r="A115" s="5" t="s">
        <v>181</v>
      </c>
      <c r="B115" s="1">
        <v>45572</v>
      </c>
      <c r="C115" s="5" t="s">
        <v>167</v>
      </c>
      <c r="D115" s="5" t="s">
        <v>14</v>
      </c>
      <c r="E115" s="5" t="s">
        <v>55</v>
      </c>
      <c r="F115" s="5" t="s">
        <v>144</v>
      </c>
      <c r="G115" s="5" t="s">
        <v>168</v>
      </c>
      <c r="H115">
        <v>7</v>
      </c>
      <c r="I115">
        <v>0.05</v>
      </c>
      <c r="J115">
        <v>1596</v>
      </c>
      <c r="K115">
        <v>31.92</v>
      </c>
      <c r="L115">
        <v>546</v>
      </c>
      <c r="M115">
        <v>0.34210526315789475</v>
      </c>
      <c r="N115">
        <v>10</v>
      </c>
      <c r="O115" t="s">
        <v>298</v>
      </c>
    </row>
    <row r="116" spans="1:15" x14ac:dyDescent="0.45">
      <c r="A116" s="5" t="s">
        <v>182</v>
      </c>
      <c r="B116" s="1">
        <v>45629</v>
      </c>
      <c r="C116" s="5" t="s">
        <v>143</v>
      </c>
      <c r="D116" s="5" t="s">
        <v>14</v>
      </c>
      <c r="E116" s="5" t="s">
        <v>59</v>
      </c>
      <c r="F116" s="5" t="s">
        <v>144</v>
      </c>
      <c r="G116" s="5" t="s">
        <v>145</v>
      </c>
      <c r="H116">
        <v>22</v>
      </c>
      <c r="I116">
        <v>0.2</v>
      </c>
      <c r="J116">
        <v>4224</v>
      </c>
      <c r="K116">
        <v>84.48</v>
      </c>
      <c r="L116">
        <v>924</v>
      </c>
      <c r="M116">
        <v>0.21875</v>
      </c>
      <c r="N116">
        <v>12</v>
      </c>
      <c r="O116" t="s">
        <v>301</v>
      </c>
    </row>
    <row r="117" spans="1:15" x14ac:dyDescent="0.45">
      <c r="A117" s="5" t="s">
        <v>183</v>
      </c>
      <c r="B117" s="1">
        <v>45367</v>
      </c>
      <c r="C117" s="5" t="s">
        <v>167</v>
      </c>
      <c r="D117" s="5" t="s">
        <v>5</v>
      </c>
      <c r="E117" s="5" t="s">
        <v>49</v>
      </c>
      <c r="F117" s="5" t="s">
        <v>144</v>
      </c>
      <c r="G117" s="5" t="s">
        <v>168</v>
      </c>
      <c r="H117">
        <v>16</v>
      </c>
      <c r="I117">
        <v>0.15</v>
      </c>
      <c r="J117">
        <v>340</v>
      </c>
      <c r="K117">
        <v>6.8</v>
      </c>
      <c r="L117">
        <v>164</v>
      </c>
      <c r="M117">
        <v>0.4823529411764706</v>
      </c>
      <c r="N117">
        <v>3</v>
      </c>
      <c r="O117" t="s">
        <v>297</v>
      </c>
    </row>
    <row r="118" spans="1:15" x14ac:dyDescent="0.45">
      <c r="A118" s="5" t="s">
        <v>184</v>
      </c>
      <c r="B118" s="1">
        <v>45525</v>
      </c>
      <c r="C118" s="5" t="s">
        <v>147</v>
      </c>
      <c r="D118" s="5" t="s">
        <v>38</v>
      </c>
      <c r="E118" s="5" t="s">
        <v>59</v>
      </c>
      <c r="F118" s="5" t="s">
        <v>144</v>
      </c>
      <c r="G118" s="5" t="s">
        <v>148</v>
      </c>
      <c r="H118">
        <v>19</v>
      </c>
      <c r="I118">
        <v>0.15</v>
      </c>
      <c r="J118">
        <v>2584</v>
      </c>
      <c r="K118">
        <v>51.68</v>
      </c>
      <c r="L118">
        <v>912</v>
      </c>
      <c r="M118">
        <v>0.35294117647058826</v>
      </c>
      <c r="N118">
        <v>8</v>
      </c>
      <c r="O118" t="s">
        <v>304</v>
      </c>
    </row>
    <row r="119" spans="1:15" x14ac:dyDescent="0.45">
      <c r="A119" s="5" t="s">
        <v>185</v>
      </c>
      <c r="B119" s="1">
        <v>45648</v>
      </c>
      <c r="C119" s="5" t="s">
        <v>147</v>
      </c>
      <c r="D119" s="5" t="s">
        <v>21</v>
      </c>
      <c r="E119" s="5" t="s">
        <v>55</v>
      </c>
      <c r="F119" s="5" t="s">
        <v>144</v>
      </c>
      <c r="G119" s="5" t="s">
        <v>148</v>
      </c>
      <c r="H119">
        <v>8</v>
      </c>
      <c r="I119">
        <v>0.05</v>
      </c>
      <c r="J119">
        <v>8740</v>
      </c>
      <c r="K119">
        <v>349.6</v>
      </c>
      <c r="L119">
        <v>2180</v>
      </c>
      <c r="M119">
        <v>0.2494279176201373</v>
      </c>
      <c r="N119">
        <v>12</v>
      </c>
      <c r="O119" t="s">
        <v>301</v>
      </c>
    </row>
    <row r="120" spans="1:15" x14ac:dyDescent="0.45">
      <c r="A120" s="5" t="s">
        <v>186</v>
      </c>
      <c r="B120" s="1">
        <v>45627</v>
      </c>
      <c r="C120" s="5" t="s">
        <v>167</v>
      </c>
      <c r="D120" s="5" t="s">
        <v>38</v>
      </c>
      <c r="E120" s="5" t="s">
        <v>49</v>
      </c>
      <c r="F120" s="5" t="s">
        <v>144</v>
      </c>
      <c r="G120" s="5" t="s">
        <v>168</v>
      </c>
      <c r="H120">
        <v>25</v>
      </c>
      <c r="I120">
        <v>0.2</v>
      </c>
      <c r="J120">
        <v>3200</v>
      </c>
      <c r="K120">
        <v>64</v>
      </c>
      <c r="L120">
        <v>1000</v>
      </c>
      <c r="M120">
        <v>0.3125</v>
      </c>
      <c r="N120">
        <v>12</v>
      </c>
      <c r="O120" t="s">
        <v>301</v>
      </c>
    </row>
    <row r="121" spans="1:15" x14ac:dyDescent="0.45">
      <c r="A121" s="5" t="s">
        <v>187</v>
      </c>
      <c r="B121" s="1">
        <v>45568</v>
      </c>
      <c r="C121" s="5" t="s">
        <v>143</v>
      </c>
      <c r="D121" s="5" t="s">
        <v>10</v>
      </c>
      <c r="E121" s="5" t="s">
        <v>49</v>
      </c>
      <c r="F121" s="5" t="s">
        <v>144</v>
      </c>
      <c r="G121" s="5" t="s">
        <v>145</v>
      </c>
      <c r="H121">
        <v>8</v>
      </c>
      <c r="I121">
        <v>0.05</v>
      </c>
      <c r="J121">
        <v>342</v>
      </c>
      <c r="K121">
        <v>6.84</v>
      </c>
      <c r="L121">
        <v>190</v>
      </c>
      <c r="M121">
        <v>0.55555555555555558</v>
      </c>
      <c r="N121">
        <v>10</v>
      </c>
      <c r="O121" t="s">
        <v>298</v>
      </c>
    </row>
    <row r="122" spans="1:15" x14ac:dyDescent="0.45">
      <c r="A122" s="5" t="s">
        <v>188</v>
      </c>
      <c r="B122" s="1">
        <v>45500</v>
      </c>
      <c r="C122" s="5" t="s">
        <v>153</v>
      </c>
      <c r="D122" s="5" t="s">
        <v>24</v>
      </c>
      <c r="E122" s="5" t="s">
        <v>55</v>
      </c>
      <c r="F122" s="5" t="s">
        <v>144</v>
      </c>
      <c r="G122" s="5" t="s">
        <v>154</v>
      </c>
      <c r="H122">
        <v>14</v>
      </c>
      <c r="I122">
        <v>0.1</v>
      </c>
      <c r="J122">
        <v>22050</v>
      </c>
      <c r="K122">
        <v>1323</v>
      </c>
      <c r="L122">
        <v>3850</v>
      </c>
      <c r="M122">
        <v>0.17460317460317459</v>
      </c>
      <c r="N122">
        <v>7</v>
      </c>
      <c r="O122" t="s">
        <v>306</v>
      </c>
    </row>
    <row r="123" spans="1:15" x14ac:dyDescent="0.45">
      <c r="A123" s="5" t="s">
        <v>189</v>
      </c>
      <c r="B123" s="1">
        <v>45397</v>
      </c>
      <c r="C123" s="5" t="s">
        <v>147</v>
      </c>
      <c r="D123" s="5" t="s">
        <v>19</v>
      </c>
      <c r="E123" s="5" t="s">
        <v>59</v>
      </c>
      <c r="F123" s="5" t="s">
        <v>144</v>
      </c>
      <c r="G123" s="5" t="s">
        <v>148</v>
      </c>
      <c r="H123">
        <v>23</v>
      </c>
      <c r="I123">
        <v>0.2</v>
      </c>
      <c r="J123">
        <v>3312</v>
      </c>
      <c r="K123">
        <v>66.239999999999995</v>
      </c>
      <c r="L123">
        <v>897</v>
      </c>
      <c r="M123">
        <v>0.27083333333333331</v>
      </c>
      <c r="N123">
        <v>4</v>
      </c>
      <c r="O123" t="s">
        <v>295</v>
      </c>
    </row>
    <row r="124" spans="1:15" x14ac:dyDescent="0.45">
      <c r="A124" s="5" t="s">
        <v>190</v>
      </c>
      <c r="B124" s="1">
        <v>45586</v>
      </c>
      <c r="C124" s="5" t="s">
        <v>147</v>
      </c>
      <c r="D124" s="5" t="s">
        <v>21</v>
      </c>
      <c r="E124" s="5" t="s">
        <v>49</v>
      </c>
      <c r="F124" s="5" t="s">
        <v>144</v>
      </c>
      <c r="G124" s="5" t="s">
        <v>148</v>
      </c>
      <c r="H124">
        <v>12</v>
      </c>
      <c r="I124">
        <v>0.1</v>
      </c>
      <c r="J124">
        <v>12420</v>
      </c>
      <c r="K124">
        <v>496.8</v>
      </c>
      <c r="L124">
        <v>2580</v>
      </c>
      <c r="M124">
        <v>0.20772946859903382</v>
      </c>
      <c r="N124">
        <v>10</v>
      </c>
      <c r="O124" t="s">
        <v>298</v>
      </c>
    </row>
    <row r="125" spans="1:15" x14ac:dyDescent="0.45">
      <c r="A125" s="5" t="s">
        <v>191</v>
      </c>
      <c r="B125" s="1">
        <v>45491</v>
      </c>
      <c r="C125" s="5" t="s">
        <v>147</v>
      </c>
      <c r="D125" s="5" t="s">
        <v>24</v>
      </c>
      <c r="E125" s="5" t="s">
        <v>59</v>
      </c>
      <c r="F125" s="5" t="s">
        <v>144</v>
      </c>
      <c r="G125" s="5" t="s">
        <v>148</v>
      </c>
      <c r="H125">
        <v>24</v>
      </c>
      <c r="I125">
        <v>0.2</v>
      </c>
      <c r="J125">
        <v>33600</v>
      </c>
      <c r="K125">
        <v>2016</v>
      </c>
      <c r="L125">
        <v>2400</v>
      </c>
      <c r="M125">
        <v>7.1428571428571425E-2</v>
      </c>
      <c r="N125">
        <v>7</v>
      </c>
      <c r="O125" t="s">
        <v>306</v>
      </c>
    </row>
    <row r="126" spans="1:15" x14ac:dyDescent="0.45">
      <c r="A126" s="5" t="s">
        <v>192</v>
      </c>
      <c r="B126" s="1">
        <v>45491</v>
      </c>
      <c r="C126" s="5" t="s">
        <v>153</v>
      </c>
      <c r="D126" s="5" t="s">
        <v>28</v>
      </c>
      <c r="E126" s="5" t="s">
        <v>59</v>
      </c>
      <c r="F126" s="5" t="s">
        <v>144</v>
      </c>
      <c r="G126" s="5" t="s">
        <v>154</v>
      </c>
      <c r="H126">
        <v>13</v>
      </c>
      <c r="I126">
        <v>0.1</v>
      </c>
      <c r="J126">
        <v>2457</v>
      </c>
      <c r="K126">
        <v>49.14</v>
      </c>
      <c r="L126">
        <v>897</v>
      </c>
      <c r="M126">
        <v>0.36507936507936506</v>
      </c>
      <c r="N126">
        <v>7</v>
      </c>
      <c r="O126" t="s">
        <v>306</v>
      </c>
    </row>
    <row r="127" spans="1:15" x14ac:dyDescent="0.45">
      <c r="A127" s="5" t="s">
        <v>193</v>
      </c>
      <c r="B127" s="1">
        <v>45434</v>
      </c>
      <c r="C127" s="5" t="s">
        <v>147</v>
      </c>
      <c r="D127" s="5" t="s">
        <v>14</v>
      </c>
      <c r="E127" s="5" t="s">
        <v>49</v>
      </c>
      <c r="F127" s="5" t="s">
        <v>144</v>
      </c>
      <c r="G127" s="5" t="s">
        <v>148</v>
      </c>
      <c r="H127">
        <v>16</v>
      </c>
      <c r="I127">
        <v>0.15</v>
      </c>
      <c r="J127">
        <v>3264</v>
      </c>
      <c r="K127">
        <v>65.28</v>
      </c>
      <c r="L127">
        <v>864</v>
      </c>
      <c r="M127">
        <v>0.26470588235294118</v>
      </c>
      <c r="N127">
        <v>5</v>
      </c>
      <c r="O127" t="s">
        <v>303</v>
      </c>
    </row>
    <row r="128" spans="1:15" x14ac:dyDescent="0.45">
      <c r="A128" s="5" t="s">
        <v>194</v>
      </c>
      <c r="B128" s="1">
        <v>45568</v>
      </c>
      <c r="C128" s="5" t="s">
        <v>167</v>
      </c>
      <c r="D128" s="5" t="s">
        <v>17</v>
      </c>
      <c r="E128" s="5" t="s">
        <v>49</v>
      </c>
      <c r="F128" s="5" t="s">
        <v>144</v>
      </c>
      <c r="G128" s="5" t="s">
        <v>168</v>
      </c>
      <c r="H128">
        <v>21</v>
      </c>
      <c r="I128">
        <v>0.2</v>
      </c>
      <c r="J128">
        <v>8736</v>
      </c>
      <c r="K128">
        <v>349.44</v>
      </c>
      <c r="L128">
        <v>1176</v>
      </c>
      <c r="M128">
        <v>0.13461538461538461</v>
      </c>
      <c r="N128">
        <v>10</v>
      </c>
      <c r="O128" t="s">
        <v>298</v>
      </c>
    </row>
    <row r="129" spans="1:15" x14ac:dyDescent="0.45">
      <c r="A129" s="5" t="s">
        <v>195</v>
      </c>
      <c r="B129" s="1">
        <v>45625</v>
      </c>
      <c r="C129" s="5" t="s">
        <v>167</v>
      </c>
      <c r="D129" s="5" t="s">
        <v>33</v>
      </c>
      <c r="E129" s="5" t="s">
        <v>49</v>
      </c>
      <c r="F129" s="5" t="s">
        <v>144</v>
      </c>
      <c r="G129" s="5" t="s">
        <v>168</v>
      </c>
      <c r="H129">
        <v>8</v>
      </c>
      <c r="I129">
        <v>0.05</v>
      </c>
      <c r="J129">
        <v>988</v>
      </c>
      <c r="K129">
        <v>19.760000000000002</v>
      </c>
      <c r="L129">
        <v>492</v>
      </c>
      <c r="M129">
        <v>0.49797570850202427</v>
      </c>
      <c r="N129">
        <v>11</v>
      </c>
      <c r="O129" t="s">
        <v>296</v>
      </c>
    </row>
    <row r="130" spans="1:15" x14ac:dyDescent="0.45">
      <c r="A130" s="5" t="s">
        <v>196</v>
      </c>
      <c r="B130" s="1">
        <v>45634</v>
      </c>
      <c r="C130" s="5" t="s">
        <v>143</v>
      </c>
      <c r="D130" s="5" t="s">
        <v>26</v>
      </c>
      <c r="E130" s="5" t="s">
        <v>49</v>
      </c>
      <c r="F130" s="5" t="s">
        <v>144</v>
      </c>
      <c r="G130" s="5" t="s">
        <v>145</v>
      </c>
      <c r="H130">
        <v>15</v>
      </c>
      <c r="I130">
        <v>0.1</v>
      </c>
      <c r="J130">
        <v>14175</v>
      </c>
      <c r="K130">
        <v>567</v>
      </c>
      <c r="L130">
        <v>2775</v>
      </c>
      <c r="M130">
        <v>0.19576719576719576</v>
      </c>
      <c r="N130">
        <v>12</v>
      </c>
      <c r="O130" t="s">
        <v>301</v>
      </c>
    </row>
    <row r="131" spans="1:15" x14ac:dyDescent="0.45">
      <c r="A131" s="5" t="s">
        <v>197</v>
      </c>
      <c r="B131" s="1">
        <v>45586</v>
      </c>
      <c r="C131" s="5" t="s">
        <v>147</v>
      </c>
      <c r="D131" s="5" t="s">
        <v>19</v>
      </c>
      <c r="E131" s="5" t="s">
        <v>59</v>
      </c>
      <c r="F131" s="5" t="s">
        <v>144</v>
      </c>
      <c r="G131" s="5" t="s">
        <v>148</v>
      </c>
      <c r="H131">
        <v>7</v>
      </c>
      <c r="I131">
        <v>0.05</v>
      </c>
      <c r="J131">
        <v>1197</v>
      </c>
      <c r="K131">
        <v>23.94</v>
      </c>
      <c r="L131">
        <v>462</v>
      </c>
      <c r="M131">
        <v>0.38596491228070173</v>
      </c>
      <c r="N131">
        <v>10</v>
      </c>
      <c r="O131" t="s">
        <v>298</v>
      </c>
    </row>
    <row r="132" spans="1:15" x14ac:dyDescent="0.45">
      <c r="A132" s="5" t="s">
        <v>198</v>
      </c>
      <c r="B132" s="1">
        <v>45551</v>
      </c>
      <c r="C132" s="5" t="s">
        <v>153</v>
      </c>
      <c r="D132" s="5" t="s">
        <v>5</v>
      </c>
      <c r="E132" s="5" t="s">
        <v>55</v>
      </c>
      <c r="F132" s="5" t="s">
        <v>144</v>
      </c>
      <c r="G132" s="5" t="s">
        <v>154</v>
      </c>
      <c r="H132">
        <v>16</v>
      </c>
      <c r="I132">
        <v>0.15</v>
      </c>
      <c r="J132">
        <v>340</v>
      </c>
      <c r="K132">
        <v>6.8</v>
      </c>
      <c r="L132">
        <v>164</v>
      </c>
      <c r="M132">
        <v>0.4823529411764706</v>
      </c>
      <c r="N132">
        <v>9</v>
      </c>
      <c r="O132" t="s">
        <v>300</v>
      </c>
    </row>
    <row r="133" spans="1:15" x14ac:dyDescent="0.45">
      <c r="A133" s="5" t="s">
        <v>199</v>
      </c>
      <c r="B133" s="1">
        <v>45513</v>
      </c>
      <c r="C133" s="5" t="s">
        <v>153</v>
      </c>
      <c r="D133" s="5" t="s">
        <v>28</v>
      </c>
      <c r="E133" s="5" t="s">
        <v>55</v>
      </c>
      <c r="F133" s="5" t="s">
        <v>144</v>
      </c>
      <c r="G133" s="5" t="s">
        <v>154</v>
      </c>
      <c r="H133">
        <v>23</v>
      </c>
      <c r="I133">
        <v>0.2</v>
      </c>
      <c r="J133">
        <v>3864</v>
      </c>
      <c r="K133">
        <v>77.28</v>
      </c>
      <c r="L133">
        <v>1104</v>
      </c>
      <c r="M133">
        <v>0.2857142857142857</v>
      </c>
      <c r="N133">
        <v>8</v>
      </c>
      <c r="O133" t="s">
        <v>304</v>
      </c>
    </row>
    <row r="134" spans="1:15" x14ac:dyDescent="0.45">
      <c r="A134" s="5" t="s">
        <v>200</v>
      </c>
      <c r="B134" s="1">
        <v>45464</v>
      </c>
      <c r="C134" s="5" t="s">
        <v>167</v>
      </c>
      <c r="D134" s="5" t="s">
        <v>21</v>
      </c>
      <c r="E134" s="5" t="s">
        <v>55</v>
      </c>
      <c r="F134" s="5" t="s">
        <v>144</v>
      </c>
      <c r="G134" s="5" t="s">
        <v>168</v>
      </c>
      <c r="H134">
        <v>6</v>
      </c>
      <c r="I134">
        <v>0.05</v>
      </c>
      <c r="J134">
        <v>6555</v>
      </c>
      <c r="K134">
        <v>262.2</v>
      </c>
      <c r="L134">
        <v>1635</v>
      </c>
      <c r="M134">
        <v>0.2494279176201373</v>
      </c>
      <c r="N134">
        <v>6</v>
      </c>
      <c r="O134" t="s">
        <v>299</v>
      </c>
    </row>
    <row r="135" spans="1:15" x14ac:dyDescent="0.45">
      <c r="A135" s="5" t="s">
        <v>201</v>
      </c>
      <c r="B135" s="1">
        <v>45400</v>
      </c>
      <c r="C135" s="5" t="s">
        <v>153</v>
      </c>
      <c r="D135" s="5" t="s">
        <v>33</v>
      </c>
      <c r="E135" s="5" t="s">
        <v>55</v>
      </c>
      <c r="F135" s="5" t="s">
        <v>144</v>
      </c>
      <c r="G135" s="5" t="s">
        <v>154</v>
      </c>
      <c r="H135">
        <v>11</v>
      </c>
      <c r="I135">
        <v>0.1</v>
      </c>
      <c r="J135">
        <v>1287</v>
      </c>
      <c r="K135">
        <v>25.74</v>
      </c>
      <c r="L135">
        <v>605</v>
      </c>
      <c r="M135">
        <v>0.47008547008547008</v>
      </c>
      <c r="N135">
        <v>4</v>
      </c>
      <c r="O135" t="s">
        <v>295</v>
      </c>
    </row>
    <row r="136" spans="1:15" x14ac:dyDescent="0.45">
      <c r="A136" s="5" t="s">
        <v>202</v>
      </c>
      <c r="B136" s="1">
        <v>45300</v>
      </c>
      <c r="C136" s="5" t="s">
        <v>143</v>
      </c>
      <c r="D136" s="5" t="s">
        <v>14</v>
      </c>
      <c r="E136" s="5" t="s">
        <v>49</v>
      </c>
      <c r="F136" s="5" t="s">
        <v>144</v>
      </c>
      <c r="G136" s="5" t="s">
        <v>145</v>
      </c>
      <c r="H136">
        <v>13</v>
      </c>
      <c r="I136">
        <v>0.1</v>
      </c>
      <c r="J136">
        <v>2808</v>
      </c>
      <c r="K136">
        <v>56.16</v>
      </c>
      <c r="L136">
        <v>858</v>
      </c>
      <c r="M136">
        <v>0.30555555555555558</v>
      </c>
      <c r="N136">
        <v>1</v>
      </c>
      <c r="O136" t="s">
        <v>305</v>
      </c>
    </row>
    <row r="137" spans="1:15" x14ac:dyDescent="0.45">
      <c r="A137" s="5" t="s">
        <v>203</v>
      </c>
      <c r="B137" s="1">
        <v>45453</v>
      </c>
      <c r="C137" s="5" t="s">
        <v>143</v>
      </c>
      <c r="D137" s="5" t="s">
        <v>31</v>
      </c>
      <c r="E137" s="5" t="s">
        <v>59</v>
      </c>
      <c r="F137" s="5" t="s">
        <v>144</v>
      </c>
      <c r="G137" s="5" t="s">
        <v>145</v>
      </c>
      <c r="H137">
        <v>25</v>
      </c>
      <c r="I137">
        <v>0.2</v>
      </c>
      <c r="J137">
        <v>1900</v>
      </c>
      <c r="K137">
        <v>38</v>
      </c>
      <c r="L137">
        <v>800</v>
      </c>
      <c r="M137">
        <v>0.42105263157894735</v>
      </c>
      <c r="N137">
        <v>6</v>
      </c>
      <c r="O137" t="s">
        <v>299</v>
      </c>
    </row>
    <row r="138" spans="1:15" x14ac:dyDescent="0.45">
      <c r="A138" s="5" t="s">
        <v>204</v>
      </c>
      <c r="B138" s="1">
        <v>45446</v>
      </c>
      <c r="C138" s="5" t="s">
        <v>167</v>
      </c>
      <c r="D138" s="5" t="s">
        <v>31</v>
      </c>
      <c r="E138" s="5" t="s">
        <v>59</v>
      </c>
      <c r="F138" s="5" t="s">
        <v>144</v>
      </c>
      <c r="G138" s="5" t="s">
        <v>168</v>
      </c>
      <c r="H138">
        <v>5</v>
      </c>
      <c r="I138">
        <v>0</v>
      </c>
      <c r="J138">
        <v>475</v>
      </c>
      <c r="K138">
        <v>9.5</v>
      </c>
      <c r="L138">
        <v>255</v>
      </c>
      <c r="M138">
        <v>0.5368421052631579</v>
      </c>
      <c r="N138">
        <v>6</v>
      </c>
      <c r="O138" t="s">
        <v>299</v>
      </c>
    </row>
    <row r="139" spans="1:15" x14ac:dyDescent="0.45">
      <c r="A139" s="5" t="s">
        <v>205</v>
      </c>
      <c r="B139" s="1">
        <v>45315</v>
      </c>
      <c r="C139" s="5" t="s">
        <v>167</v>
      </c>
      <c r="D139" s="5" t="s">
        <v>24</v>
      </c>
      <c r="E139" s="5" t="s">
        <v>55</v>
      </c>
      <c r="F139" s="5" t="s">
        <v>144</v>
      </c>
      <c r="G139" s="5" t="s">
        <v>168</v>
      </c>
      <c r="H139">
        <v>23</v>
      </c>
      <c r="I139">
        <v>0.2</v>
      </c>
      <c r="J139">
        <v>32200</v>
      </c>
      <c r="K139">
        <v>1932</v>
      </c>
      <c r="L139">
        <v>2300</v>
      </c>
      <c r="M139">
        <v>7.1428571428571425E-2</v>
      </c>
      <c r="N139">
        <v>1</v>
      </c>
      <c r="O139" t="s">
        <v>305</v>
      </c>
    </row>
    <row r="140" spans="1:15" x14ac:dyDescent="0.45">
      <c r="A140" s="5" t="s">
        <v>206</v>
      </c>
      <c r="B140" s="1">
        <v>45577</v>
      </c>
      <c r="C140" s="5" t="s">
        <v>147</v>
      </c>
      <c r="D140" s="5" t="s">
        <v>26</v>
      </c>
      <c r="E140" s="5" t="s">
        <v>59</v>
      </c>
      <c r="F140" s="5" t="s">
        <v>144</v>
      </c>
      <c r="G140" s="5" t="s">
        <v>148</v>
      </c>
      <c r="H140">
        <v>20</v>
      </c>
      <c r="I140">
        <v>0.15</v>
      </c>
      <c r="J140">
        <v>17850</v>
      </c>
      <c r="K140">
        <v>1071</v>
      </c>
      <c r="L140">
        <v>2650</v>
      </c>
      <c r="M140">
        <v>0.1484593837535014</v>
      </c>
      <c r="N140">
        <v>10</v>
      </c>
      <c r="O140" t="s">
        <v>298</v>
      </c>
    </row>
    <row r="141" spans="1:15" x14ac:dyDescent="0.45">
      <c r="A141" s="5" t="s">
        <v>207</v>
      </c>
      <c r="B141" s="1">
        <v>45559</v>
      </c>
      <c r="C141" s="5" t="s">
        <v>147</v>
      </c>
      <c r="D141" s="5" t="s">
        <v>21</v>
      </c>
      <c r="E141" s="5" t="s">
        <v>55</v>
      </c>
      <c r="F141" s="5" t="s">
        <v>144</v>
      </c>
      <c r="G141" s="5" t="s">
        <v>148</v>
      </c>
      <c r="H141">
        <v>10</v>
      </c>
      <c r="I141">
        <v>0.05</v>
      </c>
      <c r="J141">
        <v>10925</v>
      </c>
      <c r="K141">
        <v>437</v>
      </c>
      <c r="L141">
        <v>2725</v>
      </c>
      <c r="M141">
        <v>0.2494279176201373</v>
      </c>
      <c r="N141">
        <v>9</v>
      </c>
      <c r="O141" t="s">
        <v>300</v>
      </c>
    </row>
    <row r="142" spans="1:15" x14ac:dyDescent="0.45">
      <c r="A142" s="5" t="s">
        <v>208</v>
      </c>
      <c r="B142" s="1">
        <v>45509</v>
      </c>
      <c r="C142" s="5" t="s">
        <v>143</v>
      </c>
      <c r="D142" s="5" t="s">
        <v>24</v>
      </c>
      <c r="E142" s="5" t="s">
        <v>49</v>
      </c>
      <c r="F142" s="5" t="s">
        <v>144</v>
      </c>
      <c r="G142" s="5" t="s">
        <v>145</v>
      </c>
      <c r="H142">
        <v>21</v>
      </c>
      <c r="I142">
        <v>0.2</v>
      </c>
      <c r="J142">
        <v>29400</v>
      </c>
      <c r="K142">
        <v>1764</v>
      </c>
      <c r="L142">
        <v>2100</v>
      </c>
      <c r="M142">
        <v>7.1428571428571425E-2</v>
      </c>
      <c r="N142">
        <v>8</v>
      </c>
      <c r="O142" t="s">
        <v>304</v>
      </c>
    </row>
    <row r="143" spans="1:15" x14ac:dyDescent="0.45">
      <c r="A143" s="5" t="s">
        <v>209</v>
      </c>
      <c r="B143" s="1">
        <v>45516</v>
      </c>
      <c r="C143" s="5" t="s">
        <v>143</v>
      </c>
      <c r="D143" s="5" t="s">
        <v>26</v>
      </c>
      <c r="E143" s="5" t="s">
        <v>49</v>
      </c>
      <c r="F143" s="5" t="s">
        <v>144</v>
      </c>
      <c r="G143" s="5" t="s">
        <v>145</v>
      </c>
      <c r="H143">
        <v>14</v>
      </c>
      <c r="I143">
        <v>0.1</v>
      </c>
      <c r="J143">
        <v>13230</v>
      </c>
      <c r="K143">
        <v>529.20000000000005</v>
      </c>
      <c r="L143">
        <v>2590</v>
      </c>
      <c r="M143">
        <v>0.19576719576719576</v>
      </c>
      <c r="N143">
        <v>8</v>
      </c>
      <c r="O143" t="s">
        <v>304</v>
      </c>
    </row>
    <row r="144" spans="1:15" x14ac:dyDescent="0.45">
      <c r="A144" s="5" t="s">
        <v>210</v>
      </c>
      <c r="B144" s="1">
        <v>45591</v>
      </c>
      <c r="C144" s="5" t="s">
        <v>147</v>
      </c>
      <c r="D144" s="5" t="s">
        <v>28</v>
      </c>
      <c r="E144" s="5" t="s">
        <v>55</v>
      </c>
      <c r="F144" s="5" t="s">
        <v>144</v>
      </c>
      <c r="G144" s="5" t="s">
        <v>148</v>
      </c>
      <c r="H144">
        <v>3</v>
      </c>
      <c r="I144">
        <v>0</v>
      </c>
      <c r="J144">
        <v>630</v>
      </c>
      <c r="K144">
        <v>12.6</v>
      </c>
      <c r="L144">
        <v>270</v>
      </c>
      <c r="M144">
        <v>0.42857142857142855</v>
      </c>
      <c r="N144">
        <v>10</v>
      </c>
      <c r="O144" t="s">
        <v>298</v>
      </c>
    </row>
    <row r="145" spans="1:15" x14ac:dyDescent="0.45">
      <c r="A145" s="5" t="s">
        <v>211</v>
      </c>
      <c r="B145" s="1">
        <v>45470</v>
      </c>
      <c r="C145" s="5" t="s">
        <v>147</v>
      </c>
      <c r="D145" s="5" t="s">
        <v>17</v>
      </c>
      <c r="E145" s="5" t="s">
        <v>55</v>
      </c>
      <c r="F145" s="5" t="s">
        <v>144</v>
      </c>
      <c r="G145" s="5" t="s">
        <v>148</v>
      </c>
      <c r="H145">
        <v>22</v>
      </c>
      <c r="I145">
        <v>0.2</v>
      </c>
      <c r="J145">
        <v>9152</v>
      </c>
      <c r="K145">
        <v>366.08</v>
      </c>
      <c r="L145">
        <v>1232</v>
      </c>
      <c r="M145">
        <v>0.13461538461538461</v>
      </c>
      <c r="N145">
        <v>6</v>
      </c>
      <c r="O145" t="s">
        <v>299</v>
      </c>
    </row>
    <row r="146" spans="1:15" x14ac:dyDescent="0.45">
      <c r="A146" s="5" t="s">
        <v>212</v>
      </c>
      <c r="B146" s="1">
        <v>45374</v>
      </c>
      <c r="C146" s="5" t="s">
        <v>153</v>
      </c>
      <c r="D146" s="5" t="s">
        <v>19</v>
      </c>
      <c r="E146" s="5" t="s">
        <v>59</v>
      </c>
      <c r="F146" s="5" t="s">
        <v>144</v>
      </c>
      <c r="G146" s="5" t="s">
        <v>154</v>
      </c>
      <c r="H146">
        <v>16</v>
      </c>
      <c r="I146">
        <v>0.15</v>
      </c>
      <c r="J146">
        <v>2448</v>
      </c>
      <c r="K146">
        <v>48.96</v>
      </c>
      <c r="L146">
        <v>768</v>
      </c>
      <c r="M146">
        <v>0.31372549019607843</v>
      </c>
      <c r="N146">
        <v>3</v>
      </c>
      <c r="O146" t="s">
        <v>297</v>
      </c>
    </row>
    <row r="147" spans="1:15" x14ac:dyDescent="0.45">
      <c r="A147" s="5" t="s">
        <v>213</v>
      </c>
      <c r="B147" s="1">
        <v>45631</v>
      </c>
      <c r="C147" s="5" t="s">
        <v>147</v>
      </c>
      <c r="D147" s="5" t="s">
        <v>35</v>
      </c>
      <c r="E147" s="5" t="s">
        <v>59</v>
      </c>
      <c r="F147" s="5" t="s">
        <v>144</v>
      </c>
      <c r="G147" s="5" t="s">
        <v>148</v>
      </c>
      <c r="H147">
        <v>2</v>
      </c>
      <c r="I147">
        <v>0</v>
      </c>
      <c r="J147">
        <v>220</v>
      </c>
      <c r="K147">
        <v>4.4000000000000004</v>
      </c>
      <c r="L147">
        <v>110</v>
      </c>
      <c r="M147">
        <v>0.5</v>
      </c>
      <c r="N147">
        <v>12</v>
      </c>
      <c r="O147" t="s">
        <v>301</v>
      </c>
    </row>
    <row r="148" spans="1:15" x14ac:dyDescent="0.45">
      <c r="A148" s="5" t="s">
        <v>214</v>
      </c>
      <c r="B148" s="1">
        <v>45337</v>
      </c>
      <c r="C148" s="5" t="s">
        <v>153</v>
      </c>
      <c r="D148" s="5" t="s">
        <v>14</v>
      </c>
      <c r="E148" s="5" t="s">
        <v>55</v>
      </c>
      <c r="F148" s="5" t="s">
        <v>144</v>
      </c>
      <c r="G148" s="5" t="s">
        <v>154</v>
      </c>
      <c r="H148">
        <v>4</v>
      </c>
      <c r="I148">
        <v>0</v>
      </c>
      <c r="J148">
        <v>960</v>
      </c>
      <c r="K148">
        <v>19.2</v>
      </c>
      <c r="L148">
        <v>360</v>
      </c>
      <c r="M148">
        <v>0.375</v>
      </c>
      <c r="N148">
        <v>2</v>
      </c>
      <c r="O148" t="s">
        <v>302</v>
      </c>
    </row>
    <row r="149" spans="1:15" x14ac:dyDescent="0.45">
      <c r="A149" s="5" t="s">
        <v>215</v>
      </c>
      <c r="B149" s="1">
        <v>45555</v>
      </c>
      <c r="C149" s="5" t="s">
        <v>167</v>
      </c>
      <c r="D149" s="5" t="s">
        <v>28</v>
      </c>
      <c r="E149" s="5" t="s">
        <v>59</v>
      </c>
      <c r="F149" s="5" t="s">
        <v>144</v>
      </c>
      <c r="G149" s="5" t="s">
        <v>168</v>
      </c>
      <c r="H149">
        <v>15</v>
      </c>
      <c r="I149">
        <v>0.1</v>
      </c>
      <c r="J149">
        <v>2835</v>
      </c>
      <c r="K149">
        <v>56.7</v>
      </c>
      <c r="L149">
        <v>1035</v>
      </c>
      <c r="M149">
        <v>0.36507936507936506</v>
      </c>
      <c r="N149">
        <v>9</v>
      </c>
      <c r="O149" t="s">
        <v>300</v>
      </c>
    </row>
    <row r="150" spans="1:15" x14ac:dyDescent="0.45">
      <c r="A150" s="5" t="s">
        <v>216</v>
      </c>
      <c r="B150" s="1">
        <v>45354</v>
      </c>
      <c r="C150" s="5" t="s">
        <v>167</v>
      </c>
      <c r="D150" s="5" t="s">
        <v>28</v>
      </c>
      <c r="E150" s="5" t="s">
        <v>59</v>
      </c>
      <c r="F150" s="5" t="s">
        <v>144</v>
      </c>
      <c r="G150" s="5" t="s">
        <v>168</v>
      </c>
      <c r="H150">
        <v>8</v>
      </c>
      <c r="I150">
        <v>0.05</v>
      </c>
      <c r="J150">
        <v>1596</v>
      </c>
      <c r="K150">
        <v>31.92</v>
      </c>
      <c r="L150">
        <v>636</v>
      </c>
      <c r="M150">
        <v>0.39849624060150374</v>
      </c>
      <c r="N150">
        <v>3</v>
      </c>
      <c r="O150" t="s">
        <v>297</v>
      </c>
    </row>
    <row r="151" spans="1:15" x14ac:dyDescent="0.45">
      <c r="A151" s="5" t="s">
        <v>217</v>
      </c>
      <c r="B151" s="1">
        <v>45407</v>
      </c>
      <c r="C151" s="5" t="s">
        <v>143</v>
      </c>
      <c r="D151" s="5" t="s">
        <v>21</v>
      </c>
      <c r="E151" s="5" t="s">
        <v>49</v>
      </c>
      <c r="F151" s="5" t="s">
        <v>144</v>
      </c>
      <c r="G151" s="5" t="s">
        <v>145</v>
      </c>
      <c r="H151">
        <v>21</v>
      </c>
      <c r="I151">
        <v>0.2</v>
      </c>
      <c r="J151">
        <v>19320</v>
      </c>
      <c r="K151">
        <v>1159.2</v>
      </c>
      <c r="L151">
        <v>2100</v>
      </c>
      <c r="M151">
        <v>0.10869565217391304</v>
      </c>
      <c r="N151">
        <v>4</v>
      </c>
      <c r="O151" t="s">
        <v>295</v>
      </c>
    </row>
    <row r="152" spans="1:15" x14ac:dyDescent="0.45">
      <c r="A152" s="5" t="s">
        <v>218</v>
      </c>
      <c r="B152" s="1">
        <v>45314</v>
      </c>
      <c r="C152" s="5" t="s">
        <v>153</v>
      </c>
      <c r="D152" s="5" t="s">
        <v>31</v>
      </c>
      <c r="E152" s="5" t="s">
        <v>55</v>
      </c>
      <c r="F152" s="5" t="s">
        <v>144</v>
      </c>
      <c r="G152" s="5" t="s">
        <v>154</v>
      </c>
      <c r="H152">
        <v>23</v>
      </c>
      <c r="I152">
        <v>0.2</v>
      </c>
      <c r="J152">
        <v>1748</v>
      </c>
      <c r="K152">
        <v>34.96</v>
      </c>
      <c r="L152">
        <v>736</v>
      </c>
      <c r="M152">
        <v>0.42105263157894735</v>
      </c>
      <c r="N152">
        <v>1</v>
      </c>
      <c r="O152" t="s">
        <v>305</v>
      </c>
    </row>
    <row r="153" spans="1:15" x14ac:dyDescent="0.45">
      <c r="A153" s="5" t="s">
        <v>219</v>
      </c>
      <c r="B153" s="1">
        <v>45365</v>
      </c>
      <c r="C153" s="5" t="s">
        <v>147</v>
      </c>
      <c r="D153" s="5" t="s">
        <v>35</v>
      </c>
      <c r="E153" s="5" t="s">
        <v>59</v>
      </c>
      <c r="F153" s="5" t="s">
        <v>144</v>
      </c>
      <c r="G153" s="5" t="s">
        <v>148</v>
      </c>
      <c r="H153">
        <v>5</v>
      </c>
      <c r="I153">
        <v>0</v>
      </c>
      <c r="J153">
        <v>550</v>
      </c>
      <c r="K153">
        <v>11</v>
      </c>
      <c r="L153">
        <v>275</v>
      </c>
      <c r="M153">
        <v>0.5</v>
      </c>
      <c r="N153">
        <v>3</v>
      </c>
      <c r="O153" t="s">
        <v>297</v>
      </c>
    </row>
    <row r="154" spans="1:15" x14ac:dyDescent="0.45">
      <c r="A154" s="5" t="s">
        <v>220</v>
      </c>
      <c r="B154" s="1">
        <v>45624</v>
      </c>
      <c r="C154" s="5" t="s">
        <v>143</v>
      </c>
      <c r="D154" s="5" t="s">
        <v>35</v>
      </c>
      <c r="E154" s="5" t="s">
        <v>55</v>
      </c>
      <c r="F154" s="5" t="s">
        <v>144</v>
      </c>
      <c r="G154" s="5" t="s">
        <v>145</v>
      </c>
      <c r="H154">
        <v>22</v>
      </c>
      <c r="I154">
        <v>0.2</v>
      </c>
      <c r="J154">
        <v>1936</v>
      </c>
      <c r="K154">
        <v>38.72</v>
      </c>
      <c r="L154">
        <v>726</v>
      </c>
      <c r="M154">
        <v>0.375</v>
      </c>
      <c r="N154">
        <v>11</v>
      </c>
      <c r="O154" t="s">
        <v>296</v>
      </c>
    </row>
    <row r="155" spans="1:15" x14ac:dyDescent="0.45">
      <c r="A155" s="5" t="s">
        <v>221</v>
      </c>
      <c r="B155" s="1">
        <v>45342</v>
      </c>
      <c r="C155" s="5" t="s">
        <v>143</v>
      </c>
      <c r="D155" s="5" t="s">
        <v>21</v>
      </c>
      <c r="E155" s="5" t="s">
        <v>49</v>
      </c>
      <c r="F155" s="5" t="s">
        <v>144</v>
      </c>
      <c r="G155" s="5" t="s">
        <v>145</v>
      </c>
      <c r="H155">
        <v>23</v>
      </c>
      <c r="I155">
        <v>0.2</v>
      </c>
      <c r="J155">
        <v>21160</v>
      </c>
      <c r="K155">
        <v>1269.5999999999999</v>
      </c>
      <c r="L155">
        <v>2300</v>
      </c>
      <c r="M155">
        <v>0.10869565217391304</v>
      </c>
      <c r="N155">
        <v>2</v>
      </c>
      <c r="O155" t="s">
        <v>302</v>
      </c>
    </row>
    <row r="156" spans="1:15" x14ac:dyDescent="0.45">
      <c r="A156" s="5" t="s">
        <v>222</v>
      </c>
      <c r="B156" s="1">
        <v>45406</v>
      </c>
      <c r="C156" s="5" t="s">
        <v>223</v>
      </c>
      <c r="D156" s="5" t="s">
        <v>31</v>
      </c>
      <c r="E156" s="5" t="s">
        <v>49</v>
      </c>
      <c r="F156" s="5" t="s">
        <v>224</v>
      </c>
      <c r="G156" s="5" t="s">
        <v>225</v>
      </c>
      <c r="H156">
        <v>22</v>
      </c>
      <c r="I156">
        <v>0.2</v>
      </c>
      <c r="J156">
        <v>1672</v>
      </c>
      <c r="K156">
        <v>33.44</v>
      </c>
      <c r="L156">
        <v>704</v>
      </c>
      <c r="M156">
        <v>0.42105263157894735</v>
      </c>
      <c r="N156">
        <v>4</v>
      </c>
      <c r="O156" t="s">
        <v>295</v>
      </c>
    </row>
    <row r="157" spans="1:15" x14ac:dyDescent="0.45">
      <c r="A157" s="5" t="s">
        <v>226</v>
      </c>
      <c r="B157" s="1">
        <v>45295</v>
      </c>
      <c r="C157" s="5" t="s">
        <v>223</v>
      </c>
      <c r="D157" s="5" t="s">
        <v>31</v>
      </c>
      <c r="E157" s="5" t="s">
        <v>55</v>
      </c>
      <c r="F157" s="5" t="s">
        <v>224</v>
      </c>
      <c r="G157" s="5" t="s">
        <v>225</v>
      </c>
      <c r="H157">
        <v>11</v>
      </c>
      <c r="I157">
        <v>0.1</v>
      </c>
      <c r="J157">
        <v>940.5</v>
      </c>
      <c r="K157">
        <v>18.809999999999999</v>
      </c>
      <c r="L157">
        <v>456.5</v>
      </c>
      <c r="M157">
        <v>0.4853801169590643</v>
      </c>
      <c r="N157">
        <v>1</v>
      </c>
      <c r="O157" t="s">
        <v>305</v>
      </c>
    </row>
    <row r="158" spans="1:15" x14ac:dyDescent="0.45">
      <c r="A158" s="5" t="s">
        <v>227</v>
      </c>
      <c r="B158" s="1">
        <v>45314</v>
      </c>
      <c r="C158" s="5" t="s">
        <v>228</v>
      </c>
      <c r="D158" s="5" t="s">
        <v>24</v>
      </c>
      <c r="E158" s="5" t="s">
        <v>49</v>
      </c>
      <c r="F158" s="5" t="s">
        <v>224</v>
      </c>
      <c r="G158" s="5" t="s">
        <v>229</v>
      </c>
      <c r="H158">
        <v>13</v>
      </c>
      <c r="I158">
        <v>0.1</v>
      </c>
      <c r="J158">
        <v>20475</v>
      </c>
      <c r="K158">
        <v>1228.5</v>
      </c>
      <c r="L158">
        <v>3575</v>
      </c>
      <c r="M158">
        <v>0.17460317460317459</v>
      </c>
      <c r="N158">
        <v>1</v>
      </c>
      <c r="O158" t="s">
        <v>305</v>
      </c>
    </row>
    <row r="159" spans="1:15" x14ac:dyDescent="0.45">
      <c r="A159" s="5" t="s">
        <v>230</v>
      </c>
      <c r="B159" s="1">
        <v>45434</v>
      </c>
      <c r="C159" s="5" t="s">
        <v>228</v>
      </c>
      <c r="D159" s="5" t="s">
        <v>28</v>
      </c>
      <c r="E159" s="5" t="s">
        <v>55</v>
      </c>
      <c r="F159" s="5" t="s">
        <v>224</v>
      </c>
      <c r="G159" s="5" t="s">
        <v>229</v>
      </c>
      <c r="H159">
        <v>6</v>
      </c>
      <c r="I159">
        <v>0.05</v>
      </c>
      <c r="J159">
        <v>1197</v>
      </c>
      <c r="K159">
        <v>23.94</v>
      </c>
      <c r="L159">
        <v>477</v>
      </c>
      <c r="M159">
        <v>0.39849624060150374</v>
      </c>
      <c r="N159">
        <v>5</v>
      </c>
      <c r="O159" t="s">
        <v>303</v>
      </c>
    </row>
    <row r="160" spans="1:15" x14ac:dyDescent="0.45">
      <c r="A160" s="5" t="s">
        <v>231</v>
      </c>
      <c r="B160" s="1">
        <v>45603</v>
      </c>
      <c r="C160" s="5" t="s">
        <v>223</v>
      </c>
      <c r="D160" s="5" t="s">
        <v>24</v>
      </c>
      <c r="E160" s="5" t="s">
        <v>59</v>
      </c>
      <c r="F160" s="5" t="s">
        <v>224</v>
      </c>
      <c r="G160" s="5" t="s">
        <v>225</v>
      </c>
      <c r="H160">
        <v>8</v>
      </c>
      <c r="I160">
        <v>0.05</v>
      </c>
      <c r="J160">
        <v>13300</v>
      </c>
      <c r="K160">
        <v>532</v>
      </c>
      <c r="L160">
        <v>2900</v>
      </c>
      <c r="M160">
        <v>0.21804511278195488</v>
      </c>
      <c r="N160">
        <v>11</v>
      </c>
      <c r="O160" t="s">
        <v>296</v>
      </c>
    </row>
    <row r="161" spans="1:15" x14ac:dyDescent="0.45">
      <c r="A161" s="5" t="s">
        <v>232</v>
      </c>
      <c r="B161" s="1">
        <v>45400</v>
      </c>
      <c r="C161" s="5" t="s">
        <v>228</v>
      </c>
      <c r="D161" s="5" t="s">
        <v>19</v>
      </c>
      <c r="E161" s="5" t="s">
        <v>59</v>
      </c>
      <c r="F161" s="5" t="s">
        <v>224</v>
      </c>
      <c r="G161" s="5" t="s">
        <v>229</v>
      </c>
      <c r="H161">
        <v>15</v>
      </c>
      <c r="I161">
        <v>0.1</v>
      </c>
      <c r="J161">
        <v>2430</v>
      </c>
      <c r="K161">
        <v>48.6</v>
      </c>
      <c r="L161">
        <v>855</v>
      </c>
      <c r="M161">
        <v>0.35185185185185186</v>
      </c>
      <c r="N161">
        <v>4</v>
      </c>
      <c r="O161" t="s">
        <v>295</v>
      </c>
    </row>
    <row r="162" spans="1:15" x14ac:dyDescent="0.45">
      <c r="A162" s="5" t="s">
        <v>233</v>
      </c>
      <c r="B162" s="1">
        <v>45427</v>
      </c>
      <c r="C162" s="5" t="s">
        <v>223</v>
      </c>
      <c r="D162" s="5" t="s">
        <v>12</v>
      </c>
      <c r="E162" s="5" t="s">
        <v>59</v>
      </c>
      <c r="F162" s="5" t="s">
        <v>224</v>
      </c>
      <c r="G162" s="5" t="s">
        <v>225</v>
      </c>
      <c r="H162">
        <v>18</v>
      </c>
      <c r="I162">
        <v>0.15</v>
      </c>
      <c r="J162">
        <v>535.5</v>
      </c>
      <c r="K162">
        <v>10.71</v>
      </c>
      <c r="L162">
        <v>283.5</v>
      </c>
      <c r="M162">
        <v>0.52941176470588236</v>
      </c>
      <c r="N162">
        <v>5</v>
      </c>
      <c r="O162" t="s">
        <v>303</v>
      </c>
    </row>
    <row r="163" spans="1:15" x14ac:dyDescent="0.45">
      <c r="A163" s="5" t="s">
        <v>234</v>
      </c>
      <c r="B163" s="1">
        <v>45404</v>
      </c>
      <c r="C163" s="5" t="s">
        <v>223</v>
      </c>
      <c r="D163" s="5" t="s">
        <v>24</v>
      </c>
      <c r="E163" s="5" t="s">
        <v>55</v>
      </c>
      <c r="F163" s="5" t="s">
        <v>224</v>
      </c>
      <c r="G163" s="5" t="s">
        <v>225</v>
      </c>
      <c r="H163">
        <v>3</v>
      </c>
      <c r="I163">
        <v>0</v>
      </c>
      <c r="J163">
        <v>5250</v>
      </c>
      <c r="K163">
        <v>210</v>
      </c>
      <c r="L163">
        <v>1350</v>
      </c>
      <c r="M163">
        <v>0.25714285714285712</v>
      </c>
      <c r="N163">
        <v>4</v>
      </c>
      <c r="O163" t="s">
        <v>295</v>
      </c>
    </row>
    <row r="164" spans="1:15" x14ac:dyDescent="0.45">
      <c r="A164" s="5" t="s">
        <v>235</v>
      </c>
      <c r="B164" s="1">
        <v>45348</v>
      </c>
      <c r="C164" s="5" t="s">
        <v>223</v>
      </c>
      <c r="D164" s="5" t="s">
        <v>28</v>
      </c>
      <c r="E164" s="5" t="s">
        <v>49</v>
      </c>
      <c r="F164" s="5" t="s">
        <v>224</v>
      </c>
      <c r="G164" s="5" t="s">
        <v>225</v>
      </c>
      <c r="H164">
        <v>22</v>
      </c>
      <c r="I164">
        <v>0.2</v>
      </c>
      <c r="J164">
        <v>3696</v>
      </c>
      <c r="K164">
        <v>73.92</v>
      </c>
      <c r="L164">
        <v>1056</v>
      </c>
      <c r="M164">
        <v>0.2857142857142857</v>
      </c>
      <c r="N164">
        <v>2</v>
      </c>
      <c r="O164" t="s">
        <v>302</v>
      </c>
    </row>
    <row r="165" spans="1:15" x14ac:dyDescent="0.45">
      <c r="A165" s="5" t="s">
        <v>236</v>
      </c>
      <c r="B165" s="1">
        <v>45335</v>
      </c>
      <c r="C165" s="5" t="s">
        <v>228</v>
      </c>
      <c r="D165" s="5" t="s">
        <v>35</v>
      </c>
      <c r="E165" s="5" t="s">
        <v>49</v>
      </c>
      <c r="F165" s="5" t="s">
        <v>224</v>
      </c>
      <c r="G165" s="5" t="s">
        <v>229</v>
      </c>
      <c r="H165">
        <v>25</v>
      </c>
      <c r="I165">
        <v>0.2</v>
      </c>
      <c r="J165">
        <v>2200</v>
      </c>
      <c r="K165">
        <v>44</v>
      </c>
      <c r="L165">
        <v>825</v>
      </c>
      <c r="M165">
        <v>0.375</v>
      </c>
      <c r="N165">
        <v>2</v>
      </c>
      <c r="O165" t="s">
        <v>302</v>
      </c>
    </row>
    <row r="166" spans="1:15" x14ac:dyDescent="0.45">
      <c r="A166" s="5" t="s">
        <v>237</v>
      </c>
      <c r="B166" s="1">
        <v>45357</v>
      </c>
      <c r="C166" s="5" t="s">
        <v>228</v>
      </c>
      <c r="D166" s="5" t="s">
        <v>24</v>
      </c>
      <c r="E166" s="5" t="s">
        <v>49</v>
      </c>
      <c r="F166" s="5" t="s">
        <v>224</v>
      </c>
      <c r="G166" s="5" t="s">
        <v>229</v>
      </c>
      <c r="H166">
        <v>9</v>
      </c>
      <c r="I166">
        <v>0.05</v>
      </c>
      <c r="J166">
        <v>14962.5</v>
      </c>
      <c r="K166">
        <v>598.5</v>
      </c>
      <c r="L166">
        <v>3262.5</v>
      </c>
      <c r="M166">
        <v>0.21804511278195488</v>
      </c>
      <c r="N166">
        <v>3</v>
      </c>
      <c r="O166" t="s">
        <v>297</v>
      </c>
    </row>
    <row r="167" spans="1:15" x14ac:dyDescent="0.45">
      <c r="A167" s="5" t="s">
        <v>238</v>
      </c>
      <c r="B167" s="1">
        <v>45568</v>
      </c>
      <c r="C167" s="5" t="s">
        <v>223</v>
      </c>
      <c r="D167" s="5" t="s">
        <v>31</v>
      </c>
      <c r="E167" s="5" t="s">
        <v>59</v>
      </c>
      <c r="F167" s="5" t="s">
        <v>224</v>
      </c>
      <c r="G167" s="5" t="s">
        <v>225</v>
      </c>
      <c r="H167">
        <v>19</v>
      </c>
      <c r="I167">
        <v>0.15</v>
      </c>
      <c r="J167">
        <v>1534.25</v>
      </c>
      <c r="K167">
        <v>30.684999999999999</v>
      </c>
      <c r="L167">
        <v>698.25</v>
      </c>
      <c r="M167">
        <v>0.45510835913312692</v>
      </c>
      <c r="N167">
        <v>10</v>
      </c>
      <c r="O167" t="s">
        <v>298</v>
      </c>
    </row>
    <row r="168" spans="1:15" x14ac:dyDescent="0.45">
      <c r="A168" s="5" t="s">
        <v>239</v>
      </c>
      <c r="B168" s="1">
        <v>45416</v>
      </c>
      <c r="C168" s="5" t="s">
        <v>228</v>
      </c>
      <c r="D168" s="5" t="s">
        <v>33</v>
      </c>
      <c r="E168" s="5" t="s">
        <v>55</v>
      </c>
      <c r="F168" s="5" t="s">
        <v>224</v>
      </c>
      <c r="G168" s="5" t="s">
        <v>229</v>
      </c>
      <c r="H168">
        <v>7</v>
      </c>
      <c r="I168">
        <v>0.05</v>
      </c>
      <c r="J168">
        <v>864.5</v>
      </c>
      <c r="K168">
        <v>17.29</v>
      </c>
      <c r="L168">
        <v>430.5</v>
      </c>
      <c r="M168">
        <v>0.49797570850202427</v>
      </c>
      <c r="N168">
        <v>5</v>
      </c>
      <c r="O168" t="s">
        <v>303</v>
      </c>
    </row>
    <row r="169" spans="1:15" x14ac:dyDescent="0.45">
      <c r="A169" s="5" t="s">
        <v>240</v>
      </c>
      <c r="B169" s="1">
        <v>45330</v>
      </c>
      <c r="C169" s="5" t="s">
        <v>228</v>
      </c>
      <c r="D169" s="5" t="s">
        <v>33</v>
      </c>
      <c r="E169" s="5" t="s">
        <v>59</v>
      </c>
      <c r="F169" s="5" t="s">
        <v>224</v>
      </c>
      <c r="G169" s="5" t="s">
        <v>229</v>
      </c>
      <c r="H169">
        <v>4</v>
      </c>
      <c r="I169">
        <v>0</v>
      </c>
      <c r="J169">
        <v>520</v>
      </c>
      <c r="K169">
        <v>10.4</v>
      </c>
      <c r="L169">
        <v>272</v>
      </c>
      <c r="M169">
        <v>0.52307692307692311</v>
      </c>
      <c r="N169">
        <v>2</v>
      </c>
      <c r="O169" t="s">
        <v>302</v>
      </c>
    </row>
    <row r="170" spans="1:15" x14ac:dyDescent="0.45">
      <c r="A170" s="5" t="s">
        <v>241</v>
      </c>
      <c r="B170" s="1">
        <v>45322</v>
      </c>
      <c r="C170" s="5" t="s">
        <v>223</v>
      </c>
      <c r="D170" s="5" t="s">
        <v>19</v>
      </c>
      <c r="E170" s="5" t="s">
        <v>49</v>
      </c>
      <c r="F170" s="5" t="s">
        <v>224</v>
      </c>
      <c r="G170" s="5" t="s">
        <v>225</v>
      </c>
      <c r="H170">
        <v>13</v>
      </c>
      <c r="I170">
        <v>0.1</v>
      </c>
      <c r="J170">
        <v>2106</v>
      </c>
      <c r="K170">
        <v>42.12</v>
      </c>
      <c r="L170">
        <v>741</v>
      </c>
      <c r="M170">
        <v>0.35185185185185186</v>
      </c>
      <c r="N170">
        <v>1</v>
      </c>
      <c r="O170" t="s">
        <v>305</v>
      </c>
    </row>
    <row r="171" spans="1:15" x14ac:dyDescent="0.45">
      <c r="A171" s="5" t="s">
        <v>242</v>
      </c>
      <c r="B171" s="1">
        <v>45296</v>
      </c>
      <c r="C171" s="5" t="s">
        <v>228</v>
      </c>
      <c r="D171" s="5" t="s">
        <v>26</v>
      </c>
      <c r="E171" s="5" t="s">
        <v>59</v>
      </c>
      <c r="F171" s="5" t="s">
        <v>224</v>
      </c>
      <c r="G171" s="5" t="s">
        <v>229</v>
      </c>
      <c r="H171">
        <v>4</v>
      </c>
      <c r="I171">
        <v>0</v>
      </c>
      <c r="J171">
        <v>4200</v>
      </c>
      <c r="K171">
        <v>84</v>
      </c>
      <c r="L171">
        <v>1160</v>
      </c>
      <c r="M171">
        <v>0.27619047619047621</v>
      </c>
      <c r="N171">
        <v>1</v>
      </c>
      <c r="O171" t="s">
        <v>305</v>
      </c>
    </row>
    <row r="172" spans="1:15" x14ac:dyDescent="0.45">
      <c r="A172" s="5" t="s">
        <v>243</v>
      </c>
      <c r="B172" s="1">
        <v>45462</v>
      </c>
      <c r="C172" s="5" t="s">
        <v>223</v>
      </c>
      <c r="D172" s="5" t="s">
        <v>28</v>
      </c>
      <c r="E172" s="5" t="s">
        <v>55</v>
      </c>
      <c r="F172" s="5" t="s">
        <v>224</v>
      </c>
      <c r="G172" s="5" t="s">
        <v>225</v>
      </c>
      <c r="H172">
        <v>6</v>
      </c>
      <c r="I172">
        <v>0.05</v>
      </c>
      <c r="J172">
        <v>1197</v>
      </c>
      <c r="K172">
        <v>23.94</v>
      </c>
      <c r="L172">
        <v>477</v>
      </c>
      <c r="M172">
        <v>0.39849624060150374</v>
      </c>
      <c r="N172">
        <v>6</v>
      </c>
      <c r="O172" t="s">
        <v>299</v>
      </c>
    </row>
    <row r="173" spans="1:15" x14ac:dyDescent="0.45">
      <c r="A173" s="5" t="s">
        <v>244</v>
      </c>
      <c r="B173" s="1">
        <v>45645</v>
      </c>
      <c r="C173" s="5" t="s">
        <v>223</v>
      </c>
      <c r="D173" s="5" t="s">
        <v>24</v>
      </c>
      <c r="E173" s="5" t="s">
        <v>49</v>
      </c>
      <c r="F173" s="5" t="s">
        <v>224</v>
      </c>
      <c r="G173" s="5" t="s">
        <v>225</v>
      </c>
      <c r="H173">
        <v>12</v>
      </c>
      <c r="I173">
        <v>0.1</v>
      </c>
      <c r="J173">
        <v>18900</v>
      </c>
      <c r="K173">
        <v>1134</v>
      </c>
      <c r="L173">
        <v>3300</v>
      </c>
      <c r="M173">
        <v>0.17460317460317459</v>
      </c>
      <c r="N173">
        <v>12</v>
      </c>
      <c r="O173" t="s">
        <v>301</v>
      </c>
    </row>
    <row r="174" spans="1:15" x14ac:dyDescent="0.45">
      <c r="A174" s="5" t="s">
        <v>245</v>
      </c>
      <c r="B174" s="1">
        <v>45512</v>
      </c>
      <c r="C174" s="5" t="s">
        <v>223</v>
      </c>
      <c r="D174" s="5" t="s">
        <v>5</v>
      </c>
      <c r="E174" s="5" t="s">
        <v>55</v>
      </c>
      <c r="F174" s="5" t="s">
        <v>224</v>
      </c>
      <c r="G174" s="5" t="s">
        <v>225</v>
      </c>
      <c r="H174">
        <v>12</v>
      </c>
      <c r="I174">
        <v>0.1</v>
      </c>
      <c r="J174">
        <v>270</v>
      </c>
      <c r="K174">
        <v>5.4</v>
      </c>
      <c r="L174">
        <v>138</v>
      </c>
      <c r="M174">
        <v>0.51111111111111107</v>
      </c>
      <c r="N174">
        <v>8</v>
      </c>
      <c r="O174" t="s">
        <v>304</v>
      </c>
    </row>
    <row r="175" spans="1:15" x14ac:dyDescent="0.45">
      <c r="A175" s="5" t="s">
        <v>246</v>
      </c>
      <c r="B175" s="1">
        <v>45413</v>
      </c>
      <c r="C175" s="5" t="s">
        <v>223</v>
      </c>
      <c r="D175" s="5" t="s">
        <v>33</v>
      </c>
      <c r="E175" s="5" t="s">
        <v>49</v>
      </c>
      <c r="F175" s="5" t="s">
        <v>224</v>
      </c>
      <c r="G175" s="5" t="s">
        <v>225</v>
      </c>
      <c r="H175">
        <v>14</v>
      </c>
      <c r="I175">
        <v>0.1</v>
      </c>
      <c r="J175">
        <v>1638</v>
      </c>
      <c r="K175">
        <v>32.76</v>
      </c>
      <c r="L175">
        <v>770</v>
      </c>
      <c r="M175">
        <v>0.47008547008547008</v>
      </c>
      <c r="N175">
        <v>5</v>
      </c>
      <c r="O175" t="s">
        <v>303</v>
      </c>
    </row>
    <row r="176" spans="1:15" x14ac:dyDescent="0.45">
      <c r="A176" s="5" t="s">
        <v>247</v>
      </c>
      <c r="B176" s="1">
        <v>45428</v>
      </c>
      <c r="C176" s="5" t="s">
        <v>223</v>
      </c>
      <c r="D176" s="5" t="s">
        <v>33</v>
      </c>
      <c r="E176" s="5" t="s">
        <v>59</v>
      </c>
      <c r="F176" s="5" t="s">
        <v>224</v>
      </c>
      <c r="G176" s="5" t="s">
        <v>225</v>
      </c>
      <c r="H176">
        <v>4</v>
      </c>
      <c r="I176">
        <v>0</v>
      </c>
      <c r="J176">
        <v>520</v>
      </c>
      <c r="K176">
        <v>10.4</v>
      </c>
      <c r="L176">
        <v>272</v>
      </c>
      <c r="M176">
        <v>0.52307692307692311</v>
      </c>
      <c r="N176">
        <v>5</v>
      </c>
      <c r="O176" t="s">
        <v>303</v>
      </c>
    </row>
    <row r="177" spans="1:15" x14ac:dyDescent="0.45">
      <c r="A177" s="5" t="s">
        <v>248</v>
      </c>
      <c r="B177" s="1">
        <v>45311</v>
      </c>
      <c r="C177" s="5" t="s">
        <v>228</v>
      </c>
      <c r="D177" s="5" t="s">
        <v>12</v>
      </c>
      <c r="E177" s="5" t="s">
        <v>49</v>
      </c>
      <c r="F177" s="5" t="s">
        <v>224</v>
      </c>
      <c r="G177" s="5" t="s">
        <v>229</v>
      </c>
      <c r="H177">
        <v>15</v>
      </c>
      <c r="I177">
        <v>0.1</v>
      </c>
      <c r="J177">
        <v>472.5</v>
      </c>
      <c r="K177">
        <v>9.4499999999999993</v>
      </c>
      <c r="L177">
        <v>262.5</v>
      </c>
      <c r="M177">
        <v>0.55555555555555558</v>
      </c>
      <c r="N177">
        <v>1</v>
      </c>
      <c r="O177" t="s">
        <v>305</v>
      </c>
    </row>
    <row r="178" spans="1:15" x14ac:dyDescent="0.45">
      <c r="A178" s="5" t="s">
        <v>249</v>
      </c>
      <c r="B178" s="1">
        <v>45575</v>
      </c>
      <c r="C178" s="5" t="s">
        <v>223</v>
      </c>
      <c r="D178" s="5" t="s">
        <v>12</v>
      </c>
      <c r="E178" s="5" t="s">
        <v>55</v>
      </c>
      <c r="F178" s="5" t="s">
        <v>224</v>
      </c>
      <c r="G178" s="5" t="s">
        <v>225</v>
      </c>
      <c r="H178">
        <v>22</v>
      </c>
      <c r="I178">
        <v>0.2</v>
      </c>
      <c r="J178">
        <v>616</v>
      </c>
      <c r="K178">
        <v>12.32</v>
      </c>
      <c r="L178">
        <v>308</v>
      </c>
      <c r="M178">
        <v>0.5</v>
      </c>
      <c r="N178">
        <v>10</v>
      </c>
      <c r="O178" t="s">
        <v>298</v>
      </c>
    </row>
    <row r="179" spans="1:15" x14ac:dyDescent="0.45">
      <c r="A179" s="5" t="s">
        <v>250</v>
      </c>
      <c r="B179" s="1">
        <v>45638</v>
      </c>
      <c r="C179" s="5" t="s">
        <v>223</v>
      </c>
      <c r="D179" s="5" t="s">
        <v>26</v>
      </c>
      <c r="E179" s="5" t="s">
        <v>59</v>
      </c>
      <c r="F179" s="5" t="s">
        <v>224</v>
      </c>
      <c r="G179" s="5" t="s">
        <v>225</v>
      </c>
      <c r="H179">
        <v>10</v>
      </c>
      <c r="I179">
        <v>0.05</v>
      </c>
      <c r="J179">
        <v>9975</v>
      </c>
      <c r="K179">
        <v>399</v>
      </c>
      <c r="L179">
        <v>2375</v>
      </c>
      <c r="M179">
        <v>0.23809523809523808</v>
      </c>
      <c r="N179">
        <v>12</v>
      </c>
      <c r="O179" t="s">
        <v>301</v>
      </c>
    </row>
    <row r="180" spans="1:15" x14ac:dyDescent="0.45">
      <c r="A180" s="5" t="s">
        <v>251</v>
      </c>
      <c r="B180" s="1">
        <v>45404</v>
      </c>
      <c r="C180" s="5" t="s">
        <v>223</v>
      </c>
      <c r="D180" s="5" t="s">
        <v>33</v>
      </c>
      <c r="E180" s="5" t="s">
        <v>59</v>
      </c>
      <c r="F180" s="5" t="s">
        <v>224</v>
      </c>
      <c r="G180" s="5" t="s">
        <v>225</v>
      </c>
      <c r="H180">
        <v>17</v>
      </c>
      <c r="I180">
        <v>0.15</v>
      </c>
      <c r="J180">
        <v>1878.5</v>
      </c>
      <c r="K180">
        <v>37.57</v>
      </c>
      <c r="L180">
        <v>824.5</v>
      </c>
      <c r="M180">
        <v>0.43891402714932126</v>
      </c>
      <c r="N180">
        <v>4</v>
      </c>
      <c r="O180" t="s">
        <v>295</v>
      </c>
    </row>
    <row r="181" spans="1:15" x14ac:dyDescent="0.45">
      <c r="A181" s="5" t="s">
        <v>252</v>
      </c>
      <c r="B181" s="1">
        <v>45535</v>
      </c>
      <c r="C181" s="5" t="s">
        <v>228</v>
      </c>
      <c r="D181" s="5" t="s">
        <v>14</v>
      </c>
      <c r="E181" s="5" t="s">
        <v>49</v>
      </c>
      <c r="F181" s="5" t="s">
        <v>224</v>
      </c>
      <c r="G181" s="5" t="s">
        <v>229</v>
      </c>
      <c r="H181">
        <v>21</v>
      </c>
      <c r="I181">
        <v>0.2</v>
      </c>
      <c r="J181">
        <v>4032</v>
      </c>
      <c r="K181">
        <v>80.64</v>
      </c>
      <c r="L181">
        <v>882</v>
      </c>
      <c r="M181">
        <v>0.21875</v>
      </c>
      <c r="N181">
        <v>8</v>
      </c>
      <c r="O181" t="s">
        <v>304</v>
      </c>
    </row>
    <row r="182" spans="1:15" x14ac:dyDescent="0.45">
      <c r="A182" s="5" t="s">
        <v>253</v>
      </c>
      <c r="B182" s="1">
        <v>45558</v>
      </c>
      <c r="C182" s="5" t="s">
        <v>228</v>
      </c>
      <c r="D182" s="5" t="s">
        <v>28</v>
      </c>
      <c r="E182" s="5" t="s">
        <v>49</v>
      </c>
      <c r="F182" s="5" t="s">
        <v>224</v>
      </c>
      <c r="G182" s="5" t="s">
        <v>229</v>
      </c>
      <c r="H182">
        <v>9</v>
      </c>
      <c r="I182">
        <v>0.05</v>
      </c>
      <c r="J182">
        <v>1795.5</v>
      </c>
      <c r="K182">
        <v>35.909999999999997</v>
      </c>
      <c r="L182">
        <v>715.5</v>
      </c>
      <c r="M182">
        <v>0.39849624060150374</v>
      </c>
      <c r="N182">
        <v>9</v>
      </c>
      <c r="O182" t="s">
        <v>300</v>
      </c>
    </row>
    <row r="183" spans="1:15" x14ac:dyDescent="0.45">
      <c r="A183" s="5" t="s">
        <v>254</v>
      </c>
      <c r="B183" s="1">
        <v>45647</v>
      </c>
      <c r="C183" s="5" t="s">
        <v>223</v>
      </c>
      <c r="D183" s="5" t="s">
        <v>31</v>
      </c>
      <c r="E183" s="5" t="s">
        <v>49</v>
      </c>
      <c r="F183" s="5" t="s">
        <v>224</v>
      </c>
      <c r="G183" s="5" t="s">
        <v>225</v>
      </c>
      <c r="H183">
        <v>3</v>
      </c>
      <c r="I183">
        <v>0</v>
      </c>
      <c r="J183">
        <v>285</v>
      </c>
      <c r="K183">
        <v>5.7</v>
      </c>
      <c r="L183">
        <v>153</v>
      </c>
      <c r="M183">
        <v>0.5368421052631579</v>
      </c>
      <c r="N183">
        <v>12</v>
      </c>
      <c r="O183" t="s">
        <v>301</v>
      </c>
    </row>
    <row r="184" spans="1:15" x14ac:dyDescent="0.45">
      <c r="A184" s="5" t="s">
        <v>255</v>
      </c>
      <c r="B184" s="1">
        <v>45531</v>
      </c>
      <c r="C184" s="5" t="s">
        <v>223</v>
      </c>
      <c r="D184" s="5" t="s">
        <v>26</v>
      </c>
      <c r="E184" s="5" t="s">
        <v>59</v>
      </c>
      <c r="F184" s="5" t="s">
        <v>224</v>
      </c>
      <c r="G184" s="5" t="s">
        <v>225</v>
      </c>
      <c r="H184">
        <v>1</v>
      </c>
      <c r="I184">
        <v>0</v>
      </c>
      <c r="J184">
        <v>1050</v>
      </c>
      <c r="K184">
        <v>21</v>
      </c>
      <c r="L184">
        <v>290</v>
      </c>
      <c r="M184">
        <v>0.27619047619047621</v>
      </c>
      <c r="N184">
        <v>8</v>
      </c>
      <c r="O184" t="s">
        <v>304</v>
      </c>
    </row>
    <row r="185" spans="1:15" x14ac:dyDescent="0.45">
      <c r="A185" s="5" t="s">
        <v>256</v>
      </c>
      <c r="B185" s="1">
        <v>45361</v>
      </c>
      <c r="C185" s="5" t="s">
        <v>228</v>
      </c>
      <c r="D185" s="5" t="s">
        <v>10</v>
      </c>
      <c r="E185" s="5" t="s">
        <v>49</v>
      </c>
      <c r="F185" s="5" t="s">
        <v>224</v>
      </c>
      <c r="G185" s="5" t="s">
        <v>229</v>
      </c>
      <c r="H185">
        <v>9</v>
      </c>
      <c r="I185">
        <v>0.05</v>
      </c>
      <c r="J185">
        <v>384.75</v>
      </c>
      <c r="K185">
        <v>7.6950000000000003</v>
      </c>
      <c r="L185">
        <v>213.75</v>
      </c>
      <c r="M185">
        <v>0.55555555555555558</v>
      </c>
      <c r="N185">
        <v>3</v>
      </c>
      <c r="O185" t="s">
        <v>297</v>
      </c>
    </row>
    <row r="186" spans="1:15" x14ac:dyDescent="0.45">
      <c r="A186" s="5" t="s">
        <v>257</v>
      </c>
      <c r="B186" s="1">
        <v>45480</v>
      </c>
      <c r="C186" s="5" t="s">
        <v>223</v>
      </c>
      <c r="D186" s="5" t="s">
        <v>26</v>
      </c>
      <c r="E186" s="5" t="s">
        <v>59</v>
      </c>
      <c r="F186" s="5" t="s">
        <v>224</v>
      </c>
      <c r="G186" s="5" t="s">
        <v>225</v>
      </c>
      <c r="H186">
        <v>24</v>
      </c>
      <c r="I186">
        <v>0.2</v>
      </c>
      <c r="J186">
        <v>20160</v>
      </c>
      <c r="K186">
        <v>1209.5999999999999</v>
      </c>
      <c r="L186">
        <v>1920</v>
      </c>
      <c r="M186">
        <v>9.5238095238095233E-2</v>
      </c>
      <c r="N186">
        <v>7</v>
      </c>
      <c r="O186" t="s">
        <v>306</v>
      </c>
    </row>
    <row r="187" spans="1:15" x14ac:dyDescent="0.45">
      <c r="A187" s="5" t="s">
        <v>258</v>
      </c>
      <c r="B187" s="1">
        <v>45514</v>
      </c>
      <c r="C187" s="5" t="s">
        <v>223</v>
      </c>
      <c r="D187" s="5" t="s">
        <v>31</v>
      </c>
      <c r="E187" s="5" t="s">
        <v>59</v>
      </c>
      <c r="F187" s="5" t="s">
        <v>224</v>
      </c>
      <c r="G187" s="5" t="s">
        <v>225</v>
      </c>
      <c r="H187">
        <v>21</v>
      </c>
      <c r="I187">
        <v>0.2</v>
      </c>
      <c r="J187">
        <v>1596</v>
      </c>
      <c r="K187">
        <v>31.92</v>
      </c>
      <c r="L187">
        <v>672</v>
      </c>
      <c r="M187">
        <v>0.42105263157894735</v>
      </c>
      <c r="N187">
        <v>8</v>
      </c>
      <c r="O187" t="s">
        <v>304</v>
      </c>
    </row>
    <row r="188" spans="1:15" x14ac:dyDescent="0.45">
      <c r="A188" s="5" t="s">
        <v>259</v>
      </c>
      <c r="B188" s="1">
        <v>45645</v>
      </c>
      <c r="C188" s="5" t="s">
        <v>228</v>
      </c>
      <c r="D188" s="5" t="s">
        <v>28</v>
      </c>
      <c r="E188" s="5" t="s">
        <v>59</v>
      </c>
      <c r="F188" s="5" t="s">
        <v>224</v>
      </c>
      <c r="G188" s="5" t="s">
        <v>229</v>
      </c>
      <c r="H188">
        <v>16</v>
      </c>
      <c r="I188">
        <v>0.15</v>
      </c>
      <c r="J188">
        <v>2856</v>
      </c>
      <c r="K188">
        <v>57.12</v>
      </c>
      <c r="L188">
        <v>936</v>
      </c>
      <c r="M188">
        <v>0.32773109243697479</v>
      </c>
      <c r="N188">
        <v>12</v>
      </c>
      <c r="O188" t="s">
        <v>301</v>
      </c>
    </row>
    <row r="189" spans="1:15" x14ac:dyDescent="0.45">
      <c r="A189" s="5" t="s">
        <v>260</v>
      </c>
      <c r="B189" s="1">
        <v>45618</v>
      </c>
      <c r="C189" s="5" t="s">
        <v>228</v>
      </c>
      <c r="D189" s="5" t="s">
        <v>8</v>
      </c>
      <c r="E189" s="5" t="s">
        <v>49</v>
      </c>
      <c r="F189" s="5" t="s">
        <v>224</v>
      </c>
      <c r="G189" s="5" t="s">
        <v>229</v>
      </c>
      <c r="H189">
        <v>19</v>
      </c>
      <c r="I189">
        <v>0.15</v>
      </c>
      <c r="J189">
        <v>1275.8499999999999</v>
      </c>
      <c r="K189">
        <v>25.516999999999999</v>
      </c>
      <c r="L189">
        <v>553.85</v>
      </c>
      <c r="M189">
        <v>0.43410275502606105</v>
      </c>
      <c r="N189">
        <v>11</v>
      </c>
      <c r="O189" t="s">
        <v>296</v>
      </c>
    </row>
    <row r="190" spans="1:15" x14ac:dyDescent="0.45">
      <c r="A190" s="5" t="s">
        <v>261</v>
      </c>
      <c r="B190" s="1">
        <v>45532</v>
      </c>
      <c r="C190" s="5" t="s">
        <v>228</v>
      </c>
      <c r="D190" s="5" t="s">
        <v>21</v>
      </c>
      <c r="E190" s="5" t="s">
        <v>55</v>
      </c>
      <c r="F190" s="5" t="s">
        <v>224</v>
      </c>
      <c r="G190" s="5" t="s">
        <v>229</v>
      </c>
      <c r="H190">
        <v>6</v>
      </c>
      <c r="I190">
        <v>0.05</v>
      </c>
      <c r="J190">
        <v>6555</v>
      </c>
      <c r="K190">
        <v>262.2</v>
      </c>
      <c r="L190">
        <v>1635</v>
      </c>
      <c r="M190">
        <v>0.2494279176201373</v>
      </c>
      <c r="N190">
        <v>8</v>
      </c>
      <c r="O190" t="s">
        <v>304</v>
      </c>
    </row>
    <row r="191" spans="1:15" x14ac:dyDescent="0.45">
      <c r="A191" s="5" t="s">
        <v>262</v>
      </c>
      <c r="B191" s="1">
        <v>45421</v>
      </c>
      <c r="C191" s="5" t="s">
        <v>228</v>
      </c>
      <c r="D191" s="5" t="s">
        <v>8</v>
      </c>
      <c r="E191" s="5" t="s">
        <v>49</v>
      </c>
      <c r="F191" s="5" t="s">
        <v>224</v>
      </c>
      <c r="G191" s="5" t="s">
        <v>229</v>
      </c>
      <c r="H191">
        <v>13</v>
      </c>
      <c r="I191">
        <v>0.1</v>
      </c>
      <c r="J191">
        <v>924.3</v>
      </c>
      <c r="K191">
        <v>18.486000000000001</v>
      </c>
      <c r="L191">
        <v>430.3</v>
      </c>
      <c r="M191">
        <v>0.46554149085794655</v>
      </c>
      <c r="N191">
        <v>5</v>
      </c>
      <c r="O191" t="s">
        <v>303</v>
      </c>
    </row>
    <row r="192" spans="1:15" x14ac:dyDescent="0.45">
      <c r="A192" s="5" t="s">
        <v>263</v>
      </c>
      <c r="B192" s="1">
        <v>45414</v>
      </c>
      <c r="C192" s="5" t="s">
        <v>223</v>
      </c>
      <c r="D192" s="5" t="s">
        <v>24</v>
      </c>
      <c r="E192" s="5" t="s">
        <v>49</v>
      </c>
      <c r="F192" s="5" t="s">
        <v>224</v>
      </c>
      <c r="G192" s="5" t="s">
        <v>225</v>
      </c>
      <c r="H192">
        <v>6</v>
      </c>
      <c r="I192">
        <v>0.05</v>
      </c>
      <c r="J192">
        <v>9975</v>
      </c>
      <c r="K192">
        <v>399</v>
      </c>
      <c r="L192">
        <v>2175</v>
      </c>
      <c r="M192">
        <v>0.21804511278195488</v>
      </c>
      <c r="N192">
        <v>5</v>
      </c>
      <c r="O192" t="s">
        <v>303</v>
      </c>
    </row>
    <row r="193" spans="1:15" x14ac:dyDescent="0.45">
      <c r="A193" s="5" t="s">
        <v>264</v>
      </c>
      <c r="B193" s="1">
        <v>45501</v>
      </c>
      <c r="C193" s="5" t="s">
        <v>228</v>
      </c>
      <c r="D193" s="5" t="s">
        <v>31</v>
      </c>
      <c r="E193" s="5" t="s">
        <v>59</v>
      </c>
      <c r="F193" s="5" t="s">
        <v>224</v>
      </c>
      <c r="G193" s="5" t="s">
        <v>229</v>
      </c>
      <c r="H193">
        <v>16</v>
      </c>
      <c r="I193">
        <v>0.15</v>
      </c>
      <c r="J193">
        <v>1292</v>
      </c>
      <c r="K193">
        <v>25.84</v>
      </c>
      <c r="L193">
        <v>588</v>
      </c>
      <c r="M193">
        <v>0.45510835913312692</v>
      </c>
      <c r="N193">
        <v>7</v>
      </c>
      <c r="O193" t="s">
        <v>306</v>
      </c>
    </row>
    <row r="194" spans="1:15" x14ac:dyDescent="0.45">
      <c r="A194" s="5" t="s">
        <v>265</v>
      </c>
      <c r="B194" s="1">
        <v>45428</v>
      </c>
      <c r="C194" s="5" t="s">
        <v>223</v>
      </c>
      <c r="D194" s="5" t="s">
        <v>8</v>
      </c>
      <c r="E194" s="5" t="s">
        <v>49</v>
      </c>
      <c r="F194" s="5" t="s">
        <v>224</v>
      </c>
      <c r="G194" s="5" t="s">
        <v>225</v>
      </c>
      <c r="H194">
        <v>6</v>
      </c>
      <c r="I194">
        <v>0.05</v>
      </c>
      <c r="J194">
        <v>450.3</v>
      </c>
      <c r="K194">
        <v>9.0060000000000002</v>
      </c>
      <c r="L194">
        <v>222.3</v>
      </c>
      <c r="M194">
        <v>0.49367088607594939</v>
      </c>
      <c r="N194">
        <v>5</v>
      </c>
      <c r="O194" t="s">
        <v>303</v>
      </c>
    </row>
    <row r="195" spans="1:15" x14ac:dyDescent="0.45">
      <c r="A195" s="5" t="s">
        <v>266</v>
      </c>
      <c r="B195" s="1">
        <v>45612</v>
      </c>
      <c r="C195" s="5" t="s">
        <v>228</v>
      </c>
      <c r="D195" s="5" t="s">
        <v>33</v>
      </c>
      <c r="E195" s="5" t="s">
        <v>49</v>
      </c>
      <c r="F195" s="5" t="s">
        <v>224</v>
      </c>
      <c r="G195" s="5" t="s">
        <v>229</v>
      </c>
      <c r="H195">
        <v>7</v>
      </c>
      <c r="I195">
        <v>0.05</v>
      </c>
      <c r="J195">
        <v>864.5</v>
      </c>
      <c r="K195">
        <v>17.29</v>
      </c>
      <c r="L195">
        <v>430.5</v>
      </c>
      <c r="M195">
        <v>0.49797570850202427</v>
      </c>
      <c r="N195">
        <v>11</v>
      </c>
      <c r="O195" t="s">
        <v>296</v>
      </c>
    </row>
    <row r="196" spans="1:15" x14ac:dyDescent="0.45">
      <c r="A196" s="5" t="s">
        <v>267</v>
      </c>
      <c r="B196" s="1">
        <v>45573</v>
      </c>
      <c r="C196" s="5" t="s">
        <v>223</v>
      </c>
      <c r="D196" s="5" t="s">
        <v>38</v>
      </c>
      <c r="E196" s="5" t="s">
        <v>55</v>
      </c>
      <c r="F196" s="5" t="s">
        <v>224</v>
      </c>
      <c r="G196" s="5" t="s">
        <v>225</v>
      </c>
      <c r="H196">
        <v>15</v>
      </c>
      <c r="I196">
        <v>0.1</v>
      </c>
      <c r="J196">
        <v>2160</v>
      </c>
      <c r="K196">
        <v>43.2</v>
      </c>
      <c r="L196">
        <v>840</v>
      </c>
      <c r="M196">
        <v>0.3888888888888889</v>
      </c>
      <c r="N196">
        <v>10</v>
      </c>
      <c r="O196" t="s">
        <v>298</v>
      </c>
    </row>
    <row r="197" spans="1:15" x14ac:dyDescent="0.45">
      <c r="A197" s="5" t="s">
        <v>268</v>
      </c>
      <c r="B197" s="1">
        <v>45539</v>
      </c>
      <c r="C197" s="5" t="s">
        <v>228</v>
      </c>
      <c r="D197" s="5" t="s">
        <v>12</v>
      </c>
      <c r="E197" s="5" t="s">
        <v>55</v>
      </c>
      <c r="F197" s="5" t="s">
        <v>224</v>
      </c>
      <c r="G197" s="5" t="s">
        <v>229</v>
      </c>
      <c r="H197">
        <v>18</v>
      </c>
      <c r="I197">
        <v>0.15</v>
      </c>
      <c r="J197">
        <v>535.5</v>
      </c>
      <c r="K197">
        <v>10.71</v>
      </c>
      <c r="L197">
        <v>283.5</v>
      </c>
      <c r="M197">
        <v>0.52941176470588236</v>
      </c>
      <c r="N197">
        <v>9</v>
      </c>
      <c r="O197" t="s">
        <v>300</v>
      </c>
    </row>
    <row r="198" spans="1:15" x14ac:dyDescent="0.45">
      <c r="A198" s="5" t="s">
        <v>269</v>
      </c>
      <c r="B198" s="1">
        <v>45368</v>
      </c>
      <c r="C198" s="5" t="s">
        <v>228</v>
      </c>
      <c r="D198" s="5" t="s">
        <v>24</v>
      </c>
      <c r="E198" s="5" t="s">
        <v>55</v>
      </c>
      <c r="F198" s="5" t="s">
        <v>224</v>
      </c>
      <c r="G198" s="5" t="s">
        <v>229</v>
      </c>
      <c r="H198">
        <v>12</v>
      </c>
      <c r="I198">
        <v>0.1</v>
      </c>
      <c r="J198">
        <v>18900</v>
      </c>
      <c r="K198">
        <v>1134</v>
      </c>
      <c r="L198">
        <v>3300</v>
      </c>
      <c r="M198">
        <v>0.17460317460317459</v>
      </c>
      <c r="N198">
        <v>3</v>
      </c>
      <c r="O198" t="s">
        <v>297</v>
      </c>
    </row>
    <row r="199" spans="1:15" x14ac:dyDescent="0.45">
      <c r="A199" s="5" t="s">
        <v>270</v>
      </c>
      <c r="B199" s="1">
        <v>45489</v>
      </c>
      <c r="C199" s="5" t="s">
        <v>223</v>
      </c>
      <c r="D199" s="5" t="s">
        <v>21</v>
      </c>
      <c r="E199" s="5" t="s">
        <v>49</v>
      </c>
      <c r="F199" s="5" t="s">
        <v>224</v>
      </c>
      <c r="G199" s="5" t="s">
        <v>225</v>
      </c>
      <c r="H199">
        <v>5</v>
      </c>
      <c r="I199">
        <v>0</v>
      </c>
      <c r="J199">
        <v>5750</v>
      </c>
      <c r="K199">
        <v>230</v>
      </c>
      <c r="L199">
        <v>1650</v>
      </c>
      <c r="M199">
        <v>0.28695652173913044</v>
      </c>
      <c r="N199">
        <v>7</v>
      </c>
      <c r="O199" t="s">
        <v>306</v>
      </c>
    </row>
    <row r="200" spans="1:15" x14ac:dyDescent="0.45">
      <c r="A200" s="5" t="s">
        <v>271</v>
      </c>
      <c r="B200" s="1">
        <v>45343</v>
      </c>
      <c r="C200" s="5" t="s">
        <v>228</v>
      </c>
      <c r="D200" s="5" t="s">
        <v>8</v>
      </c>
      <c r="E200" s="5" t="s">
        <v>59</v>
      </c>
      <c r="F200" s="5" t="s">
        <v>224</v>
      </c>
      <c r="G200" s="5" t="s">
        <v>229</v>
      </c>
      <c r="H200">
        <v>15</v>
      </c>
      <c r="I200">
        <v>0.1</v>
      </c>
      <c r="J200">
        <v>1066.5</v>
      </c>
      <c r="K200">
        <v>21.33</v>
      </c>
      <c r="L200">
        <v>496.5</v>
      </c>
      <c r="M200">
        <v>0.46554149085794655</v>
      </c>
      <c r="N200">
        <v>2</v>
      </c>
      <c r="O200" t="s">
        <v>302</v>
      </c>
    </row>
    <row r="201" spans="1:15" x14ac:dyDescent="0.45">
      <c r="A201" s="5" t="s">
        <v>272</v>
      </c>
      <c r="B201" s="1">
        <v>45454</v>
      </c>
      <c r="C201" s="5" t="s">
        <v>228</v>
      </c>
      <c r="D201" s="5" t="s">
        <v>35</v>
      </c>
      <c r="E201" s="5" t="s">
        <v>59</v>
      </c>
      <c r="F201" s="5" t="s">
        <v>224</v>
      </c>
      <c r="G201" s="5" t="s">
        <v>229</v>
      </c>
      <c r="H201">
        <v>2</v>
      </c>
      <c r="I201">
        <v>0</v>
      </c>
      <c r="J201">
        <v>220</v>
      </c>
      <c r="K201">
        <v>4.4000000000000004</v>
      </c>
      <c r="L201">
        <v>110</v>
      </c>
      <c r="M201">
        <v>0.5</v>
      </c>
      <c r="N201">
        <v>6</v>
      </c>
      <c r="O201" t="s">
        <v>299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75B26-F53B-425E-93B0-56AA400DA06E}">
  <dimension ref="A1:D11"/>
  <sheetViews>
    <sheetView workbookViewId="0">
      <selection activeCell="C25" sqref="C25"/>
    </sheetView>
  </sheetViews>
  <sheetFormatPr defaultRowHeight="14.25" x14ac:dyDescent="0.45"/>
  <cols>
    <col min="1" max="1" width="14.59765625" bestFit="1" customWidth="1"/>
    <col min="2" max="2" width="12.86328125" bestFit="1" customWidth="1"/>
    <col min="3" max="3" width="8.3984375" bestFit="1" customWidth="1"/>
    <col min="4" max="4" width="17.19921875" bestFit="1" customWidth="1"/>
  </cols>
  <sheetData>
    <row r="1" spans="1:4" x14ac:dyDescent="0.45">
      <c r="A1" t="s">
        <v>42</v>
      </c>
      <c r="B1" t="s">
        <v>273</v>
      </c>
      <c r="C1" t="s">
        <v>44</v>
      </c>
      <c r="D1" t="s">
        <v>45</v>
      </c>
    </row>
    <row r="2" spans="1:4" x14ac:dyDescent="0.45">
      <c r="A2" s="5" t="s">
        <v>167</v>
      </c>
      <c r="B2" s="5" t="s">
        <v>274</v>
      </c>
      <c r="C2" s="5" t="s">
        <v>144</v>
      </c>
      <c r="D2" s="5" t="s">
        <v>168</v>
      </c>
    </row>
    <row r="3" spans="1:4" x14ac:dyDescent="0.45">
      <c r="A3" s="5" t="s">
        <v>143</v>
      </c>
      <c r="B3" s="5" t="s">
        <v>275</v>
      </c>
      <c r="C3" s="5" t="s">
        <v>144</v>
      </c>
      <c r="D3" s="5" t="s">
        <v>145</v>
      </c>
    </row>
    <row r="4" spans="1:4" x14ac:dyDescent="0.45">
      <c r="A4" s="5" t="s">
        <v>223</v>
      </c>
      <c r="B4" s="5" t="s">
        <v>276</v>
      </c>
      <c r="C4" s="5" t="s">
        <v>224</v>
      </c>
      <c r="D4" s="5" t="s">
        <v>225</v>
      </c>
    </row>
    <row r="5" spans="1:4" x14ac:dyDescent="0.45">
      <c r="A5" s="5" t="s">
        <v>54</v>
      </c>
      <c r="B5" s="5" t="s">
        <v>277</v>
      </c>
      <c r="C5" s="5" t="s">
        <v>50</v>
      </c>
      <c r="D5" s="5" t="s">
        <v>56</v>
      </c>
    </row>
    <row r="6" spans="1:4" x14ac:dyDescent="0.45">
      <c r="A6" s="5" t="s">
        <v>58</v>
      </c>
      <c r="B6" s="5" t="s">
        <v>278</v>
      </c>
      <c r="C6" s="5" t="s">
        <v>50</v>
      </c>
      <c r="D6" s="5" t="s">
        <v>60</v>
      </c>
    </row>
    <row r="7" spans="1:4" x14ac:dyDescent="0.45">
      <c r="A7" s="5" t="s">
        <v>153</v>
      </c>
      <c r="B7" s="5" t="s">
        <v>279</v>
      </c>
      <c r="C7" s="5" t="s">
        <v>144</v>
      </c>
      <c r="D7" s="5" t="s">
        <v>154</v>
      </c>
    </row>
    <row r="8" spans="1:4" x14ac:dyDescent="0.45">
      <c r="A8" s="5" t="s">
        <v>147</v>
      </c>
      <c r="B8" s="5" t="s">
        <v>280</v>
      </c>
      <c r="C8" s="5" t="s">
        <v>144</v>
      </c>
      <c r="D8" s="5" t="s">
        <v>148</v>
      </c>
    </row>
    <row r="9" spans="1:4" x14ac:dyDescent="0.45">
      <c r="A9" s="5" t="s">
        <v>228</v>
      </c>
      <c r="B9" s="5" t="s">
        <v>281</v>
      </c>
      <c r="C9" s="5" t="s">
        <v>224</v>
      </c>
      <c r="D9" s="5" t="s">
        <v>229</v>
      </c>
    </row>
    <row r="10" spans="1:4" x14ac:dyDescent="0.45">
      <c r="A10" s="5" t="s">
        <v>48</v>
      </c>
      <c r="B10" s="5" t="s">
        <v>282</v>
      </c>
      <c r="C10" s="5" t="s">
        <v>50</v>
      </c>
      <c r="D10" s="5" t="s">
        <v>51</v>
      </c>
    </row>
    <row r="11" spans="1:4" x14ac:dyDescent="0.45">
      <c r="A11" s="5" t="s">
        <v>81</v>
      </c>
      <c r="B11" s="5" t="s">
        <v>283</v>
      </c>
      <c r="C11" s="5" t="s">
        <v>50</v>
      </c>
      <c r="D11" s="5" t="s">
        <v>82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DE42A0A9-C155-4DE4-8183-88868A10CEAD}">
  <ds:schemaRefs/>
</ds:datastoreItem>
</file>

<file path=customXml/itemProps2.xml><?xml version="1.0" encoding="utf-8"?>
<ds:datastoreItem xmlns:ds="http://schemas.openxmlformats.org/officeDocument/2006/customXml" ds:itemID="{8BCDF045-2C51-4279-8A6F-6E006AD84129}">
  <ds:schemaRefs/>
</ds:datastoreItem>
</file>

<file path=customXml/itemProps3.xml><?xml version="1.0" encoding="utf-8"?>
<ds:datastoreItem xmlns:ds="http://schemas.openxmlformats.org/officeDocument/2006/customXml" ds:itemID="{7A29ACD7-B15B-43F8-8F6C-6A732DEDBAB5}">
  <ds:schemaRefs/>
</ds:datastoreItem>
</file>

<file path=customXml/itemProps4.xml><?xml version="1.0" encoding="utf-8"?>
<ds:datastoreItem xmlns:ds="http://schemas.openxmlformats.org/officeDocument/2006/customXml" ds:itemID="{89472D52-CF49-408E-8559-A5DA8752466C}">
  <ds:schemaRefs/>
</ds:datastoreItem>
</file>

<file path=customXml/itemProps5.xml><?xml version="1.0" encoding="utf-8"?>
<ds:datastoreItem xmlns:ds="http://schemas.openxmlformats.org/officeDocument/2006/customXml" ds:itemID="{7B7781CF-71C8-4041-82C8-7D3C59278414}">
  <ds:schemaRefs/>
</ds:datastoreItem>
</file>

<file path=customXml/itemProps6.xml><?xml version="1.0" encoding="utf-8"?>
<ds:datastoreItem xmlns:ds="http://schemas.openxmlformats.org/officeDocument/2006/customXml" ds:itemID="{7C40CCAD-75B6-409C-8E05-4947BA1D63D0}">
  <ds:schemaRefs/>
</ds:datastoreItem>
</file>

<file path=customXml/itemProps7.xml><?xml version="1.0" encoding="utf-8"?>
<ds:datastoreItem xmlns:ds="http://schemas.openxmlformats.org/officeDocument/2006/customXml" ds:itemID="{74ED75B7-9446-463F-94A1-7BD3FCC32099}">
  <ds:schemaRefs/>
</ds:datastoreItem>
</file>

<file path=customXml/itemProps8.xml><?xml version="1.0" encoding="utf-8"?>
<ds:datastoreItem xmlns:ds="http://schemas.openxmlformats.org/officeDocument/2006/customXml" ds:itemID="{0AEBBDB7-F8F7-45CD-B1EC-42AE3789D578}">
  <ds:schemaRefs/>
</ds:datastoreItem>
</file>

<file path=customXml/itemProps9.xml><?xml version="1.0" encoding="utf-8"?>
<ds:datastoreItem xmlns:ds="http://schemas.openxmlformats.org/officeDocument/2006/customXml" ds:itemID="{C7470B7C-A71F-4CE7-B927-2445D6A7EA07}">
  <ds:schemaRefs/>
</ds:datastoreItem>
</file>

<file path=customXml/itemProps10.xml><?xml version="1.0" encoding="utf-8"?>
<ds:datastoreItem xmlns:ds="http://schemas.openxmlformats.org/officeDocument/2006/customXml" ds:itemID="{EA7E7276-A762-4E64-BDCA-7DB5EB8518E3}">
  <ds:schemaRefs/>
</ds:datastoreItem>
</file>

<file path=customXml/itemProps11.xml><?xml version="1.0" encoding="utf-8"?>
<ds:datastoreItem xmlns:ds="http://schemas.openxmlformats.org/officeDocument/2006/customXml" ds:itemID="{9D432D7B-4802-48F0-AEF5-BC4E3D99D8CE}">
  <ds:schemaRefs/>
</ds:datastoreItem>
</file>

<file path=customXml/itemProps12.xml><?xml version="1.0" encoding="utf-8"?>
<ds:datastoreItem xmlns:ds="http://schemas.openxmlformats.org/officeDocument/2006/customXml" ds:itemID="{31B6A921-D32C-40BD-92E6-1B6F2545A902}">
  <ds:schemaRefs/>
</ds:datastoreItem>
</file>

<file path=customXml/itemProps13.xml><?xml version="1.0" encoding="utf-8"?>
<ds:datastoreItem xmlns:ds="http://schemas.openxmlformats.org/officeDocument/2006/customXml" ds:itemID="{65AA78A0-47B3-46FD-BBE6-2F36CAF89EF8}">
  <ds:schemaRefs/>
</ds:datastoreItem>
</file>

<file path=customXml/itemProps14.xml><?xml version="1.0" encoding="utf-8"?>
<ds:datastoreItem xmlns:ds="http://schemas.openxmlformats.org/officeDocument/2006/customXml" ds:itemID="{2393FAF3-3CF3-43E9-9264-296BEB334C74}">
  <ds:schemaRefs>
    <ds:schemaRef ds:uri="http://schemas.microsoft.com/DataMashup"/>
  </ds:schemaRefs>
</ds:datastoreItem>
</file>

<file path=customXml/itemProps15.xml><?xml version="1.0" encoding="utf-8"?>
<ds:datastoreItem xmlns:ds="http://schemas.openxmlformats.org/officeDocument/2006/customXml" ds:itemID="{B350CC02-12E4-465C-AFD4-4AEC14DA2578}">
  <ds:schemaRefs/>
</ds:datastoreItem>
</file>

<file path=customXml/itemProps16.xml><?xml version="1.0" encoding="utf-8"?>
<ds:datastoreItem xmlns:ds="http://schemas.openxmlformats.org/officeDocument/2006/customXml" ds:itemID="{9C81EBBE-FDDA-4162-9C9A-A12040428C5E}">
  <ds:schemaRefs/>
</ds:datastoreItem>
</file>

<file path=customXml/itemProps17.xml><?xml version="1.0" encoding="utf-8"?>
<ds:datastoreItem xmlns:ds="http://schemas.openxmlformats.org/officeDocument/2006/customXml" ds:itemID="{60D0453F-38C6-4A7E-812C-2CC0E9CB36F7}">
  <ds:schemaRefs/>
</ds:datastoreItem>
</file>

<file path=customXml/itemProps18.xml><?xml version="1.0" encoding="utf-8"?>
<ds:datastoreItem xmlns:ds="http://schemas.openxmlformats.org/officeDocument/2006/customXml" ds:itemID="{5970B6E9-7F43-4986-A1A0-5BB3FE0EDAC3}">
  <ds:schemaRefs/>
</ds:datastoreItem>
</file>

<file path=customXml/itemProps19.xml><?xml version="1.0" encoding="utf-8"?>
<ds:datastoreItem xmlns:ds="http://schemas.openxmlformats.org/officeDocument/2006/customXml" ds:itemID="{E5B7800F-138A-4926-A9C5-774870BBDBA6}">
  <ds:schemaRefs/>
</ds:datastoreItem>
</file>

<file path=customXml/itemProps20.xml><?xml version="1.0" encoding="utf-8"?>
<ds:datastoreItem xmlns:ds="http://schemas.openxmlformats.org/officeDocument/2006/customXml" ds:itemID="{954B088D-628E-4B9E-AF5F-26EB2FBB4193}">
  <ds:schemaRefs/>
</ds:datastoreItem>
</file>

<file path=customXml/itemProps21.xml><?xml version="1.0" encoding="utf-8"?>
<ds:datastoreItem xmlns:ds="http://schemas.openxmlformats.org/officeDocument/2006/customXml" ds:itemID="{EA417F30-5768-48A1-98FE-A9DBF1CC8FDD}">
  <ds:schemaRefs/>
</ds:datastoreItem>
</file>

<file path=customXml/itemProps22.xml><?xml version="1.0" encoding="utf-8"?>
<ds:datastoreItem xmlns:ds="http://schemas.openxmlformats.org/officeDocument/2006/customXml" ds:itemID="{85D8DFF1-A0EC-4CE6-9015-7DBE3FD39C9D}">
  <ds:schemaRefs/>
</ds:datastoreItem>
</file>

<file path=customXml/itemProps23.xml><?xml version="1.0" encoding="utf-8"?>
<ds:datastoreItem xmlns:ds="http://schemas.openxmlformats.org/officeDocument/2006/customXml" ds:itemID="{4EDDCE16-A10D-4603-9E47-C13CB3EB7946}">
  <ds:schemaRefs/>
</ds:datastoreItem>
</file>

<file path=customXml/itemProps24.xml><?xml version="1.0" encoding="utf-8"?>
<ds:datastoreItem xmlns:ds="http://schemas.openxmlformats.org/officeDocument/2006/customXml" ds:itemID="{73BEDADE-3FA2-4AD2-AE15-BAB88616174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analysis_table_chart</vt:lpstr>
      <vt:lpstr>01_products</vt:lpstr>
      <vt:lpstr>01_sales</vt:lpstr>
      <vt:lpstr>01_salespeople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Shrestha</dc:creator>
  <cp:lastModifiedBy>Rajan Shrestha</cp:lastModifiedBy>
  <dcterms:created xsi:type="dcterms:W3CDTF">2026-06-23T20:07:40Z</dcterms:created>
  <dcterms:modified xsi:type="dcterms:W3CDTF">2026-06-24T17:03:48Z</dcterms:modified>
</cp:coreProperties>
</file>