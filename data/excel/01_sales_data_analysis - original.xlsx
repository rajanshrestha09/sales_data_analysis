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31a47612db4168b/Desktop/Excel Learning/01_Project/"/>
    </mc:Choice>
  </mc:AlternateContent>
  <xr:revisionPtr revIDLastSave="242" documentId="11_04E0AA445411500D358794DDB64630C62689E8CB" xr6:coauthVersionLast="47" xr6:coauthVersionMax="47" xr10:uidLastSave="{D125915F-0602-442B-A6B8-8A5B6BDE516E}"/>
  <bookViews>
    <workbookView xWindow="-98" yWindow="923" windowWidth="17506" windowHeight="11332" firstSheet="1" activeTab="5" xr2:uid="{00000000-000D-0000-FFFF-FFFF00000000}"/>
  </bookViews>
  <sheets>
    <sheet name="Sales" sheetId="1" r:id="rId1"/>
    <sheet name="01_sales" sheetId="4" r:id="rId2"/>
    <sheet name="Products" sheetId="2" r:id="rId3"/>
    <sheet name="01_products" sheetId="5" r:id="rId4"/>
    <sheet name="Salespeople" sheetId="3" r:id="rId5"/>
    <sheet name="01_salespeopl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" i="4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</calcChain>
</file>

<file path=xl/sharedStrings.xml><?xml version="1.0" encoding="utf-8"?>
<sst xmlns="http://schemas.openxmlformats.org/spreadsheetml/2006/main" count="1804" uniqueCount="284">
  <si>
    <t>OrderID</t>
  </si>
  <si>
    <t>OrderDate</t>
  </si>
  <si>
    <t>Channel</t>
  </si>
  <si>
    <t>Region</t>
  </si>
  <si>
    <t>Country</t>
  </si>
  <si>
    <t>SalespersonID</t>
  </si>
  <si>
    <t>Salesperson</t>
  </si>
  <si>
    <t>ProductID</t>
  </si>
  <si>
    <t>Product</t>
  </si>
  <si>
    <t>Category</t>
  </si>
  <si>
    <t>Quantity</t>
  </si>
  <si>
    <t>UnitPrice</t>
  </si>
  <si>
    <t>UnitCost</t>
  </si>
  <si>
    <t>ORD-10001</t>
  </si>
  <si>
    <t>Partner</t>
  </si>
  <si>
    <t>EMEA</t>
  </si>
  <si>
    <t>Portugal</t>
  </si>
  <si>
    <t>S-02</t>
  </si>
  <si>
    <t>Bruno Costa</t>
  </si>
  <si>
    <t>P-101</t>
  </si>
  <si>
    <t>Wireless Mouse</t>
  </si>
  <si>
    <t>Accessories</t>
  </si>
  <si>
    <t>ORD-10002</t>
  </si>
  <si>
    <t>Online</t>
  </si>
  <si>
    <t>APAC</t>
  </si>
  <si>
    <t>Singapore</t>
  </si>
  <si>
    <t>S-03</t>
  </si>
  <si>
    <t>Chen Wei</t>
  </si>
  <si>
    <t>P-402</t>
  </si>
  <si>
    <t>Desk Speakers</t>
  </si>
  <si>
    <t>Audio</t>
  </si>
  <si>
    <t>ORD-10003</t>
  </si>
  <si>
    <t>Kenya</t>
  </si>
  <si>
    <t>S-07</t>
  </si>
  <si>
    <t>Grace Mwangi</t>
  </si>
  <si>
    <t>ORD-10004</t>
  </si>
  <si>
    <t>Americas</t>
  </si>
  <si>
    <t>Brazil</t>
  </si>
  <si>
    <t>S-09</t>
  </si>
  <si>
    <t>Isabela Rocha</t>
  </si>
  <si>
    <t>P-303</t>
  </si>
  <si>
    <t>Business Laptop 15</t>
  </si>
  <si>
    <t>Laptops</t>
  </si>
  <si>
    <t>ORD-10005</t>
  </si>
  <si>
    <t>P-203</t>
  </si>
  <si>
    <t>Portable Monitor</t>
  </si>
  <si>
    <t>Displays</t>
  </si>
  <si>
    <t>ORD-10006</t>
  </si>
  <si>
    <t>Retail</t>
  </si>
  <si>
    <t>ORD-10007</t>
  </si>
  <si>
    <t>Mexico</t>
  </si>
  <si>
    <t>S-04</t>
  </si>
  <si>
    <t>Diana Lopez</t>
  </si>
  <si>
    <t>P-403</t>
  </si>
  <si>
    <t>Conference Mic</t>
  </si>
  <si>
    <t>ORD-10008</t>
  </si>
  <si>
    <t>P-202</t>
  </si>
  <si>
    <t>34in Ultrawide</t>
  </si>
  <si>
    <t>ORD-10009</t>
  </si>
  <si>
    <t>Japan</t>
  </si>
  <si>
    <t>S-08</t>
  </si>
  <si>
    <t>Hiro Tanaka</t>
  </si>
  <si>
    <t>P-302</t>
  </si>
  <si>
    <t>Gaming Laptop 16</t>
  </si>
  <si>
    <t>ORD-10010</t>
  </si>
  <si>
    <t>United States</t>
  </si>
  <si>
    <t>S-05</t>
  </si>
  <si>
    <t>Ethan Brooks</t>
  </si>
  <si>
    <t>P-501</t>
  </si>
  <si>
    <t>Webcam 4K</t>
  </si>
  <si>
    <t>Peripherals</t>
  </si>
  <si>
    <t>ORD-10011</t>
  </si>
  <si>
    <t>ORD-10012</t>
  </si>
  <si>
    <t>ORD-10013</t>
  </si>
  <si>
    <t>P-401</t>
  </si>
  <si>
    <t>Noise-Cancel Headset</t>
  </si>
  <si>
    <t>ORD-10014</t>
  </si>
  <si>
    <t>ORD-10015</t>
  </si>
  <si>
    <t>ORD-10016</t>
  </si>
  <si>
    <t>P-201</t>
  </si>
  <si>
    <t>27in Monitor</t>
  </si>
  <si>
    <t>ORD-10017</t>
  </si>
  <si>
    <t>United Arab Emirates</t>
  </si>
  <si>
    <t>S-06</t>
  </si>
  <si>
    <t>Fatima Noor</t>
  </si>
  <si>
    <t>ORD-10018</t>
  </si>
  <si>
    <t>ORD-10019</t>
  </si>
  <si>
    <t>ORD-10020</t>
  </si>
  <si>
    <t>P-104</t>
  </si>
  <si>
    <t>Laptop Stand</t>
  </si>
  <si>
    <t>ORD-10021</t>
  </si>
  <si>
    <t>P-502</t>
  </si>
  <si>
    <t>Document Scanner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</si>
  <si>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</si>
  <si>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</si>
  <si>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</si>
  <si>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</si>
  <si>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</si>
  <si>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</si>
  <si>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</si>
  <si>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</si>
  <si>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</si>
  <si>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</si>
  <si>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P-301</t>
  </si>
  <si>
    <t>Ultrabook 14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</si>
  <si>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</si>
  <si>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</si>
  <si>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</si>
  <si>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</si>
  <si>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</si>
  <si>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</si>
  <si>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</si>
  <si>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</si>
  <si>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</si>
  <si>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</si>
  <si>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</si>
  <si>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</si>
  <si>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</si>
  <si>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</si>
  <si>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</si>
  <si>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</si>
  <si>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P-103</t>
  </si>
  <si>
    <t>USB-C Hub</t>
  </si>
  <si>
    <t>ORD-10048</t>
  </si>
  <si>
    <t>ORD-10049</t>
  </si>
  <si>
    <t>ORD-10050</t>
  </si>
  <si>
    <t>ORD-10051</t>
  </si>
  <si>
    <t>ORD-10052</t>
  </si>
  <si>
    <t>ORD-10053</t>
  </si>
  <si>
    <t>ORD-10054</t>
  </si>
  <si>
    <t>United Kingdom</t>
  </si>
  <si>
    <t>S-01</t>
  </si>
  <si>
    <t>Aisha Khan</t>
  </si>
  <si>
    <t>ORD-10055</t>
  </si>
  <si>
    <t>P-102</t>
  </si>
  <si>
    <t>Mechanical Keyboard</t>
  </si>
  <si>
    <t>ORD-10056</t>
  </si>
  <si>
    <t>ORD-10057</t>
  </si>
  <si>
    <t>Canada</t>
  </si>
  <si>
    <t>S-10</t>
  </si>
  <si>
    <t>Jamal Edwards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</si>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</sst>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2" fillId="0" borderId="0" xfId="0" applyNumberFormat="1" applyFont="1"/>
    <xf numFmtId="9" fontId="0" fillId="0" borderId="0" xfId="1" applyFont="1"/>
    <xf numFmtId="9" fontId="2" fillId="0" borderId="0" xfId="1" applyFont="1"/>
    <xf numFmtId="1" fontId="1" fillId="0" borderId="0" xfId="0" applyNumberFormat="1" applyFont="1"/>
    <xf numFmtId="14" fontId="1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workbookViewId="0">
      <pane ySplit="1" topLeftCell="A2" activePane="bottomLeft" state="frozen"/>
      <selection pane="bottomLeft" activeCell="K29" sqref="K29"/>
    </sheetView>
  </sheetViews>
  <sheetFormatPr defaultRowHeight="14.25" x14ac:dyDescent="0.45"/>
  <cols>
    <col min="1" max="1" width="11" customWidth="1"/>
    <col min="2" max="2" width="13.3984375" style="4" customWidth="1"/>
    <col min="3" max="3" width="16.73046875" customWidth="1"/>
    <col min="4" max="4" width="13" customWidth="1"/>
    <col min="5" max="5" width="11" customWidth="1"/>
    <col min="6" max="6" width="7.9296875" customWidth="1"/>
    <col min="7" max="7" width="22" customWidth="1"/>
    <col min="8" max="8" width="11.86328125" style="3" customWidth="1"/>
    <col min="9" max="10" width="9.06640625" style="5"/>
    <col min="12" max="12" width="9.6640625" bestFit="1" customWidth="1"/>
    <col min="13" max="13" width="11.53125" bestFit="1" customWidth="1"/>
    <col min="15" max="15" width="12" style="8" bestFit="1" customWidth="1"/>
  </cols>
  <sheetData>
    <row r="1" spans="1:15" s="2" customFormat="1" ht="15.75" x14ac:dyDescent="0.5">
      <c r="A1" s="1" t="s">
        <v>0</v>
      </c>
      <c r="B1" s="11" t="s">
        <v>1</v>
      </c>
      <c r="C1" s="1" t="s">
        <v>5</v>
      </c>
      <c r="D1" s="1" t="s">
        <v>7</v>
      </c>
      <c r="E1" s="1" t="s">
        <v>2</v>
      </c>
      <c r="F1" s="1" t="s">
        <v>3</v>
      </c>
      <c r="G1" s="1" t="s">
        <v>4</v>
      </c>
      <c r="H1" s="10" t="s">
        <v>10</v>
      </c>
      <c r="I1" s="7"/>
      <c r="J1" s="7"/>
      <c r="O1" s="9"/>
    </row>
    <row r="2" spans="1:15" x14ac:dyDescent="0.45">
      <c r="A2" t="s">
        <v>13</v>
      </c>
      <c r="B2" s="4">
        <v>45619</v>
      </c>
      <c r="C2" t="s">
        <v>17</v>
      </c>
      <c r="D2" t="s">
        <v>19</v>
      </c>
      <c r="E2" t="s">
        <v>14</v>
      </c>
      <c r="F2" t="str">
        <f>_xlfn.XLOOKUP(C2,Salespeople!$A$2:$A$11,Salespeople!$C$2:$C$11)</f>
        <v>EMEA</v>
      </c>
      <c r="G2" t="str">
        <f>_xlfn.XLOOKUP(C2,Salespeople!$A$2:$A$11,Salespeople!$D$2:$D$11)</f>
        <v>Portugal</v>
      </c>
      <c r="H2" s="3">
        <v>9</v>
      </c>
      <c r="K2" s="8"/>
      <c r="L2" s="6"/>
      <c r="M2" s="6"/>
      <c r="N2" s="6"/>
    </row>
    <row r="3" spans="1:15" x14ac:dyDescent="0.45">
      <c r="A3" t="s">
        <v>22</v>
      </c>
      <c r="B3" s="4">
        <v>45406</v>
      </c>
      <c r="C3" t="s">
        <v>26</v>
      </c>
      <c r="D3" t="s">
        <v>28</v>
      </c>
      <c r="E3" t="s">
        <v>23</v>
      </c>
      <c r="F3" t="str">
        <f>_xlfn.XLOOKUP(C3,Salespeople!$A$2:$A$11,Salespeople!$C$2:$C$11)</f>
        <v>APAC</v>
      </c>
      <c r="G3" t="str">
        <f>_xlfn.XLOOKUP(C3,Salespeople!$A$2:$A$11,Salespeople!$D$2:$D$11)</f>
        <v>Singapore</v>
      </c>
      <c r="H3" s="3">
        <v>22</v>
      </c>
      <c r="K3" s="8"/>
      <c r="L3" s="6"/>
      <c r="M3" s="6"/>
      <c r="N3" s="6"/>
    </row>
    <row r="4" spans="1:15" x14ac:dyDescent="0.45">
      <c r="A4" t="s">
        <v>31</v>
      </c>
      <c r="B4" s="4">
        <v>45594</v>
      </c>
      <c r="C4" t="s">
        <v>33</v>
      </c>
      <c r="D4" t="s">
        <v>19</v>
      </c>
      <c r="E4" t="s">
        <v>23</v>
      </c>
      <c r="F4" t="str">
        <f>_xlfn.XLOOKUP(C4,Salespeople!$A$2:$A$11,Salespeople!$C$2:$C$11)</f>
        <v>EMEA</v>
      </c>
      <c r="G4" t="str">
        <f>_xlfn.XLOOKUP(C4,Salespeople!$A$2:$A$11,Salespeople!$D$2:$D$11)</f>
        <v>Kenya</v>
      </c>
      <c r="H4" s="3">
        <v>3</v>
      </c>
      <c r="K4" s="8"/>
      <c r="L4" s="6"/>
      <c r="M4" s="6"/>
      <c r="N4" s="6"/>
    </row>
    <row r="5" spans="1:15" x14ac:dyDescent="0.45">
      <c r="A5" t="s">
        <v>35</v>
      </c>
      <c r="B5" s="4">
        <v>45411</v>
      </c>
      <c r="C5" t="s">
        <v>38</v>
      </c>
      <c r="D5" t="s">
        <v>40</v>
      </c>
      <c r="E5" t="s">
        <v>23</v>
      </c>
      <c r="F5" t="str">
        <f>_xlfn.XLOOKUP(C5,Salespeople!$A$2:$A$11,Salespeople!$C$2:$C$11)</f>
        <v>Americas</v>
      </c>
      <c r="G5" t="str">
        <f>_xlfn.XLOOKUP(C5,Salespeople!$A$2:$A$11,Salespeople!$D$2:$D$11)</f>
        <v>Brazil</v>
      </c>
      <c r="H5" s="3">
        <v>18</v>
      </c>
      <c r="K5" s="8"/>
      <c r="L5" s="6"/>
      <c r="M5" s="6"/>
      <c r="N5" s="6"/>
    </row>
    <row r="6" spans="1:15" x14ac:dyDescent="0.45">
      <c r="A6" t="s">
        <v>43</v>
      </c>
      <c r="B6" s="4">
        <v>45624</v>
      </c>
      <c r="C6" t="s">
        <v>38</v>
      </c>
      <c r="D6" t="s">
        <v>44</v>
      </c>
      <c r="E6" t="s">
        <v>23</v>
      </c>
      <c r="F6" t="str">
        <f>_xlfn.XLOOKUP(C6,Salespeople!$A$2:$A$11,Salespeople!$C$2:$C$11)</f>
        <v>Americas</v>
      </c>
      <c r="G6" t="str">
        <f>_xlfn.XLOOKUP(C6,Salespeople!$A$2:$A$11,Salespeople!$D$2:$D$11)</f>
        <v>Brazil</v>
      </c>
      <c r="H6" s="3">
        <v>15</v>
      </c>
      <c r="K6" s="8"/>
      <c r="L6" s="6"/>
      <c r="M6" s="6"/>
      <c r="N6" s="6"/>
    </row>
    <row r="7" spans="1:15" x14ac:dyDescent="0.45">
      <c r="A7" t="s">
        <v>47</v>
      </c>
      <c r="B7" s="4">
        <v>45295</v>
      </c>
      <c r="C7" t="s">
        <v>26</v>
      </c>
      <c r="D7" t="s">
        <v>28</v>
      </c>
      <c r="E7" t="s">
        <v>48</v>
      </c>
      <c r="F7" t="str">
        <f>_xlfn.XLOOKUP(C7,Salespeople!$A$2:$A$11,Salespeople!$C$2:$C$11)</f>
        <v>APAC</v>
      </c>
      <c r="G7" t="str">
        <f>_xlfn.XLOOKUP(C7,Salespeople!$A$2:$A$11,Salespeople!$D$2:$D$11)</f>
        <v>Singapore</v>
      </c>
      <c r="H7" s="3">
        <v>11</v>
      </c>
      <c r="K7" s="8"/>
      <c r="L7" s="6"/>
      <c r="M7" s="6"/>
      <c r="N7" s="6"/>
    </row>
    <row r="8" spans="1:15" x14ac:dyDescent="0.45">
      <c r="A8" t="s">
        <v>49</v>
      </c>
      <c r="B8" s="4">
        <v>45371</v>
      </c>
      <c r="C8" t="s">
        <v>51</v>
      </c>
      <c r="D8" t="s">
        <v>53</v>
      </c>
      <c r="E8" t="s">
        <v>48</v>
      </c>
      <c r="F8" t="str">
        <f>_xlfn.XLOOKUP(C8,Salespeople!$A$2:$A$11,Salespeople!$C$2:$C$11)</f>
        <v>Americas</v>
      </c>
      <c r="G8" t="str">
        <f>_xlfn.XLOOKUP(C8,Salespeople!$A$2:$A$11,Salespeople!$D$2:$D$11)</f>
        <v>Mexico</v>
      </c>
      <c r="H8" s="3">
        <v>4</v>
      </c>
      <c r="K8" s="8"/>
      <c r="L8" s="6"/>
      <c r="M8" s="6"/>
      <c r="N8" s="6"/>
    </row>
    <row r="9" spans="1:15" x14ac:dyDescent="0.45">
      <c r="A9" t="s">
        <v>55</v>
      </c>
      <c r="B9" s="4">
        <v>45486</v>
      </c>
      <c r="C9" t="s">
        <v>17</v>
      </c>
      <c r="D9" t="s">
        <v>56</v>
      </c>
      <c r="E9" t="s">
        <v>48</v>
      </c>
      <c r="F9" t="str">
        <f>_xlfn.XLOOKUP(C9,Salespeople!$A$2:$A$11,Salespeople!$C$2:$C$11)</f>
        <v>EMEA</v>
      </c>
      <c r="G9" t="str">
        <f>_xlfn.XLOOKUP(C9,Salespeople!$A$2:$A$11,Salespeople!$D$2:$D$11)</f>
        <v>Portugal</v>
      </c>
      <c r="H9" s="3">
        <v>20</v>
      </c>
      <c r="K9" s="8"/>
      <c r="L9" s="6"/>
      <c r="M9" s="6"/>
      <c r="N9" s="6"/>
    </row>
    <row r="10" spans="1:15" x14ac:dyDescent="0.45">
      <c r="A10" t="s">
        <v>58</v>
      </c>
      <c r="B10" s="4">
        <v>45314</v>
      </c>
      <c r="C10" t="s">
        <v>60</v>
      </c>
      <c r="D10" t="s">
        <v>62</v>
      </c>
      <c r="E10" t="s">
        <v>23</v>
      </c>
      <c r="F10" t="str">
        <f>_xlfn.XLOOKUP(C10,Salespeople!$A$2:$A$11,Salespeople!$C$2:$C$11)</f>
        <v>APAC</v>
      </c>
      <c r="G10" t="str">
        <f>_xlfn.XLOOKUP(C10,Salespeople!$A$2:$A$11,Salespeople!$D$2:$D$11)</f>
        <v>Japan</v>
      </c>
      <c r="H10" s="3">
        <v>13</v>
      </c>
      <c r="K10" s="8"/>
      <c r="L10" s="6"/>
      <c r="M10" s="6"/>
      <c r="N10" s="6"/>
    </row>
    <row r="11" spans="1:15" x14ac:dyDescent="0.45">
      <c r="A11" t="s">
        <v>64</v>
      </c>
      <c r="B11" s="4">
        <v>45574</v>
      </c>
      <c r="C11" t="s">
        <v>66</v>
      </c>
      <c r="D11" t="s">
        <v>68</v>
      </c>
      <c r="E11" t="s">
        <v>14</v>
      </c>
      <c r="F11" t="str">
        <f>_xlfn.XLOOKUP(C11,Salespeople!$A$2:$A$11,Salespeople!$C$2:$C$11)</f>
        <v>Americas</v>
      </c>
      <c r="G11" t="str">
        <f>_xlfn.XLOOKUP(C11,Salespeople!$A$2:$A$11,Salespeople!$D$2:$D$11)</f>
        <v>United States</v>
      </c>
      <c r="H11" s="3">
        <v>20</v>
      </c>
      <c r="K11" s="8"/>
      <c r="L11" s="6"/>
      <c r="M11" s="6"/>
      <c r="N11" s="6"/>
    </row>
    <row r="12" spans="1:15" x14ac:dyDescent="0.45">
      <c r="A12" t="s">
        <v>71</v>
      </c>
      <c r="B12" s="4">
        <v>45587</v>
      </c>
      <c r="C12" t="s">
        <v>51</v>
      </c>
      <c r="D12" t="s">
        <v>28</v>
      </c>
      <c r="E12" t="s">
        <v>23</v>
      </c>
      <c r="F12" t="str">
        <f>_xlfn.XLOOKUP(C12,Salespeople!$A$2:$A$11,Salespeople!$C$2:$C$11)</f>
        <v>Americas</v>
      </c>
      <c r="G12" t="str">
        <f>_xlfn.XLOOKUP(C12,Salespeople!$A$2:$A$11,Salespeople!$D$2:$D$11)</f>
        <v>Mexico</v>
      </c>
      <c r="H12" s="3">
        <v>2</v>
      </c>
      <c r="K12" s="8"/>
      <c r="L12" s="6"/>
      <c r="M12" s="6"/>
      <c r="N12" s="6"/>
    </row>
    <row r="13" spans="1:15" x14ac:dyDescent="0.45">
      <c r="A13" t="s">
        <v>72</v>
      </c>
      <c r="B13" s="4">
        <v>45440</v>
      </c>
      <c r="C13" t="s">
        <v>17</v>
      </c>
      <c r="D13" t="s">
        <v>68</v>
      </c>
      <c r="E13" t="s">
        <v>23</v>
      </c>
      <c r="F13" t="str">
        <f>_xlfn.XLOOKUP(C13,Salespeople!$A$2:$A$11,Salespeople!$C$2:$C$11)</f>
        <v>EMEA</v>
      </c>
      <c r="G13" t="str">
        <f>_xlfn.XLOOKUP(C13,Salespeople!$A$2:$A$11,Salespeople!$D$2:$D$11)</f>
        <v>Portugal</v>
      </c>
      <c r="H13" s="3">
        <v>4</v>
      </c>
      <c r="K13" s="8"/>
      <c r="L13" s="6"/>
      <c r="M13" s="6"/>
      <c r="N13" s="6"/>
    </row>
    <row r="14" spans="1:15" x14ac:dyDescent="0.45">
      <c r="A14" t="s">
        <v>73</v>
      </c>
      <c r="B14" s="4">
        <v>45434</v>
      </c>
      <c r="C14" t="s">
        <v>60</v>
      </c>
      <c r="D14" t="s">
        <v>74</v>
      </c>
      <c r="E14" t="s">
        <v>48</v>
      </c>
      <c r="F14" t="str">
        <f>_xlfn.XLOOKUP(C14,Salespeople!$A$2:$A$11,Salespeople!$C$2:$C$11)</f>
        <v>APAC</v>
      </c>
      <c r="G14" t="str">
        <f>_xlfn.XLOOKUP(C14,Salespeople!$A$2:$A$11,Salespeople!$D$2:$D$11)</f>
        <v>Japan</v>
      </c>
      <c r="H14" s="3">
        <v>6</v>
      </c>
      <c r="K14" s="8"/>
      <c r="L14" s="6"/>
      <c r="M14" s="6"/>
      <c r="N14" s="6"/>
    </row>
    <row r="15" spans="1:15" x14ac:dyDescent="0.45">
      <c r="A15" t="s">
        <v>76</v>
      </c>
      <c r="B15" s="4">
        <v>45473</v>
      </c>
      <c r="C15" t="s">
        <v>51</v>
      </c>
      <c r="D15" t="s">
        <v>74</v>
      </c>
      <c r="E15" t="s">
        <v>48</v>
      </c>
      <c r="F15" t="str">
        <f>_xlfn.XLOOKUP(C15,Salespeople!$A$2:$A$11,Salespeople!$C$2:$C$11)</f>
        <v>Americas</v>
      </c>
      <c r="G15" t="str">
        <f>_xlfn.XLOOKUP(C15,Salespeople!$A$2:$A$11,Salespeople!$D$2:$D$11)</f>
        <v>Mexico</v>
      </c>
      <c r="H15" s="3">
        <v>23</v>
      </c>
      <c r="K15" s="8"/>
      <c r="L15" s="6"/>
      <c r="M15" s="6"/>
      <c r="N15" s="6"/>
    </row>
    <row r="16" spans="1:15" x14ac:dyDescent="0.45">
      <c r="A16" t="s">
        <v>77</v>
      </c>
      <c r="B16" s="4">
        <v>45603</v>
      </c>
      <c r="C16" t="s">
        <v>26</v>
      </c>
      <c r="D16" t="s">
        <v>62</v>
      </c>
      <c r="E16" t="s">
        <v>14</v>
      </c>
      <c r="F16" t="str">
        <f>_xlfn.XLOOKUP(C16,Salespeople!$A$2:$A$11,Salespeople!$C$2:$C$11)</f>
        <v>APAC</v>
      </c>
      <c r="G16" t="str">
        <f>_xlfn.XLOOKUP(C16,Salespeople!$A$2:$A$11,Salespeople!$D$2:$D$11)</f>
        <v>Singapore</v>
      </c>
      <c r="H16" s="3">
        <v>8</v>
      </c>
      <c r="K16" s="8"/>
      <c r="L16" s="6"/>
      <c r="M16" s="6"/>
      <c r="N16" s="6"/>
    </row>
    <row r="17" spans="1:14" x14ac:dyDescent="0.45">
      <c r="A17" t="s">
        <v>78</v>
      </c>
      <c r="B17" s="4">
        <v>45528</v>
      </c>
      <c r="C17" t="s">
        <v>33</v>
      </c>
      <c r="D17" t="s">
        <v>79</v>
      </c>
      <c r="E17" t="s">
        <v>14</v>
      </c>
      <c r="F17" t="str">
        <f>_xlfn.XLOOKUP(C17,Salespeople!$A$2:$A$11,Salespeople!$C$2:$C$11)</f>
        <v>EMEA</v>
      </c>
      <c r="G17" t="str">
        <f>_xlfn.XLOOKUP(C17,Salespeople!$A$2:$A$11,Salespeople!$D$2:$D$11)</f>
        <v>Kenya</v>
      </c>
      <c r="H17" s="3">
        <v>23</v>
      </c>
      <c r="K17" s="8"/>
      <c r="L17" s="6"/>
      <c r="M17" s="6"/>
      <c r="N17" s="6"/>
    </row>
    <row r="18" spans="1:14" x14ac:dyDescent="0.45">
      <c r="A18" t="s">
        <v>81</v>
      </c>
      <c r="B18" s="4">
        <v>45642</v>
      </c>
      <c r="C18" t="s">
        <v>83</v>
      </c>
      <c r="D18" t="s">
        <v>68</v>
      </c>
      <c r="E18" t="s">
        <v>23</v>
      </c>
      <c r="F18" t="str">
        <f>_xlfn.XLOOKUP(C18,Salespeople!$A$2:$A$11,Salespeople!$C$2:$C$11)</f>
        <v>EMEA</v>
      </c>
      <c r="G18" t="str">
        <f>_xlfn.XLOOKUP(C18,Salespeople!$A$2:$A$11,Salespeople!$D$2:$D$11)</f>
        <v>United Arab Emirates</v>
      </c>
      <c r="H18" s="3">
        <v>8</v>
      </c>
      <c r="K18" s="8"/>
      <c r="L18" s="6"/>
      <c r="M18" s="6"/>
      <c r="N18" s="6"/>
    </row>
    <row r="19" spans="1:14" x14ac:dyDescent="0.45">
      <c r="A19" t="s">
        <v>85</v>
      </c>
      <c r="B19" s="4">
        <v>45453</v>
      </c>
      <c r="C19" t="s">
        <v>33</v>
      </c>
      <c r="D19" t="s">
        <v>79</v>
      </c>
      <c r="E19" t="s">
        <v>23</v>
      </c>
      <c r="F19" t="str">
        <f>_xlfn.XLOOKUP(C19,Salespeople!$A$2:$A$11,Salespeople!$C$2:$C$11)</f>
        <v>EMEA</v>
      </c>
      <c r="G19" t="str">
        <f>_xlfn.XLOOKUP(C19,Salespeople!$A$2:$A$11,Salespeople!$D$2:$D$11)</f>
        <v>Kenya</v>
      </c>
      <c r="H19" s="3">
        <v>7</v>
      </c>
      <c r="K19" s="8"/>
      <c r="L19" s="6"/>
      <c r="M19" s="6"/>
      <c r="N19" s="6"/>
    </row>
    <row r="20" spans="1:14" x14ac:dyDescent="0.45">
      <c r="A20" t="s">
        <v>86</v>
      </c>
      <c r="B20" s="4">
        <v>45400</v>
      </c>
      <c r="C20" t="s">
        <v>60</v>
      </c>
      <c r="D20" t="s">
        <v>44</v>
      </c>
      <c r="E20" t="s">
        <v>14</v>
      </c>
      <c r="F20" t="str">
        <f>_xlfn.XLOOKUP(C20,Salespeople!$A$2:$A$11,Salespeople!$C$2:$C$11)</f>
        <v>APAC</v>
      </c>
      <c r="G20" t="str">
        <f>_xlfn.XLOOKUP(C20,Salespeople!$A$2:$A$11,Salespeople!$D$2:$D$11)</f>
        <v>Japan</v>
      </c>
      <c r="H20" s="3">
        <v>15</v>
      </c>
      <c r="K20" s="8"/>
      <c r="L20" s="6"/>
      <c r="M20" s="6"/>
      <c r="N20" s="6"/>
    </row>
    <row r="21" spans="1:14" x14ac:dyDescent="0.45">
      <c r="A21" t="s">
        <v>87</v>
      </c>
      <c r="B21" s="4">
        <v>45427</v>
      </c>
      <c r="C21" t="s">
        <v>26</v>
      </c>
      <c r="D21" t="s">
        <v>88</v>
      </c>
      <c r="E21" t="s">
        <v>14</v>
      </c>
      <c r="F21" t="str">
        <f>_xlfn.XLOOKUP(C21,Salespeople!$A$2:$A$11,Salespeople!$C$2:$C$11)</f>
        <v>APAC</v>
      </c>
      <c r="G21" t="str">
        <f>_xlfn.XLOOKUP(C21,Salespeople!$A$2:$A$11,Salespeople!$D$2:$D$11)</f>
        <v>Singapore</v>
      </c>
      <c r="H21" s="3">
        <v>18</v>
      </c>
      <c r="K21" s="8"/>
      <c r="L21" s="6"/>
      <c r="M21" s="6"/>
      <c r="N21" s="6"/>
    </row>
    <row r="22" spans="1:14" x14ac:dyDescent="0.45">
      <c r="A22" t="s">
        <v>90</v>
      </c>
      <c r="B22" s="4">
        <v>45591</v>
      </c>
      <c r="C22" t="s">
        <v>33</v>
      </c>
      <c r="D22" t="s">
        <v>91</v>
      </c>
      <c r="E22" t="s">
        <v>14</v>
      </c>
      <c r="F22" t="str">
        <f>_xlfn.XLOOKUP(C22,Salespeople!$A$2:$A$11,Salespeople!$C$2:$C$11)</f>
        <v>EMEA</v>
      </c>
      <c r="G22" t="str">
        <f>_xlfn.XLOOKUP(C22,Salespeople!$A$2:$A$11,Salespeople!$D$2:$D$11)</f>
        <v>Kenya</v>
      </c>
      <c r="H22" s="3">
        <v>13</v>
      </c>
      <c r="K22" s="8"/>
      <c r="L22" s="6"/>
      <c r="M22" s="6"/>
      <c r="N22" s="6"/>
    </row>
    <row r="23" spans="1:14" x14ac:dyDescent="0.45">
      <c r="A23" t="s">
        <v>93</v>
      </c>
      <c r="B23" s="4">
        <v>45404</v>
      </c>
      <c r="C23" t="s">
        <v>26</v>
      </c>
      <c r="D23" t="s">
        <v>62</v>
      </c>
      <c r="E23" t="s">
        <v>48</v>
      </c>
      <c r="F23" t="str">
        <f>_xlfn.XLOOKUP(C23,Salespeople!$A$2:$A$11,Salespeople!$C$2:$C$11)</f>
        <v>APAC</v>
      </c>
      <c r="G23" t="str">
        <f>_xlfn.XLOOKUP(C23,Salespeople!$A$2:$A$11,Salespeople!$D$2:$D$11)</f>
        <v>Singapore</v>
      </c>
      <c r="H23" s="3">
        <v>3</v>
      </c>
      <c r="K23" s="8"/>
      <c r="L23" s="6"/>
      <c r="M23" s="6"/>
      <c r="N23" s="6"/>
    </row>
    <row r="24" spans="1:14" x14ac:dyDescent="0.45">
      <c r="A24" t="s">
        <v>94</v>
      </c>
      <c r="B24" s="4">
        <v>45348</v>
      </c>
      <c r="C24" t="s">
        <v>26</v>
      </c>
      <c r="D24" t="s">
        <v>74</v>
      </c>
      <c r="E24" t="s">
        <v>23</v>
      </c>
      <c r="F24" t="str">
        <f>_xlfn.XLOOKUP(C24,Salespeople!$A$2:$A$11,Salespeople!$C$2:$C$11)</f>
        <v>APAC</v>
      </c>
      <c r="G24" t="str">
        <f>_xlfn.XLOOKUP(C24,Salespeople!$A$2:$A$11,Salespeople!$D$2:$D$11)</f>
        <v>Singapore</v>
      </c>
      <c r="H24" s="3">
        <v>22</v>
      </c>
      <c r="K24" s="8"/>
      <c r="L24" s="6"/>
      <c r="M24" s="6"/>
      <c r="N24" s="6"/>
    </row>
    <row r="25" spans="1:14" x14ac:dyDescent="0.45">
      <c r="A25" t="s">
        <v>95</v>
      </c>
      <c r="B25" s="4">
        <v>45597</v>
      </c>
      <c r="C25" t="s">
        <v>17</v>
      </c>
      <c r="D25" t="s">
        <v>44</v>
      </c>
      <c r="E25" t="s">
        <v>48</v>
      </c>
      <c r="F25" t="str">
        <f>_xlfn.XLOOKUP(C25,Salespeople!$A$2:$A$11,Salespeople!$C$2:$C$11)</f>
        <v>EMEA</v>
      </c>
      <c r="G25" t="str">
        <f>_xlfn.XLOOKUP(C25,Salespeople!$A$2:$A$11,Salespeople!$D$2:$D$11)</f>
        <v>Portugal</v>
      </c>
      <c r="H25" s="3">
        <v>20</v>
      </c>
      <c r="K25" s="8"/>
      <c r="L25" s="6"/>
      <c r="M25" s="6"/>
      <c r="N25" s="6"/>
    </row>
    <row r="26" spans="1:14" x14ac:dyDescent="0.45">
      <c r="A26" t="s">
        <v>96</v>
      </c>
      <c r="B26" s="4">
        <v>45562</v>
      </c>
      <c r="C26" t="s">
        <v>66</v>
      </c>
      <c r="D26" t="s">
        <v>62</v>
      </c>
      <c r="E26" t="s">
        <v>23</v>
      </c>
      <c r="F26" t="str">
        <f>_xlfn.XLOOKUP(C26,Salespeople!$A$2:$A$11,Salespeople!$C$2:$C$11)</f>
        <v>Americas</v>
      </c>
      <c r="G26" t="str">
        <f>_xlfn.XLOOKUP(C26,Salespeople!$A$2:$A$11,Salespeople!$D$2:$D$11)</f>
        <v>United States</v>
      </c>
      <c r="H26" s="3">
        <v>22</v>
      </c>
      <c r="K26" s="8"/>
      <c r="L26" s="6"/>
      <c r="M26" s="6"/>
      <c r="N26" s="6"/>
    </row>
    <row r="27" spans="1:14" x14ac:dyDescent="0.45">
      <c r="A27" t="s">
        <v>97</v>
      </c>
      <c r="B27" s="4">
        <v>45641</v>
      </c>
      <c r="C27" t="s">
        <v>38</v>
      </c>
      <c r="D27" t="s">
        <v>53</v>
      </c>
      <c r="E27" t="s">
        <v>48</v>
      </c>
      <c r="F27" t="str">
        <f>_xlfn.XLOOKUP(C27,Salespeople!$A$2:$A$11,Salespeople!$C$2:$C$11)</f>
        <v>Americas</v>
      </c>
      <c r="G27" t="str">
        <f>_xlfn.XLOOKUP(C27,Salespeople!$A$2:$A$11,Salespeople!$D$2:$D$11)</f>
        <v>Brazil</v>
      </c>
      <c r="H27" s="3">
        <v>25</v>
      </c>
      <c r="K27" s="8"/>
      <c r="L27" s="6"/>
      <c r="M27" s="6"/>
      <c r="N27" s="6"/>
    </row>
    <row r="28" spans="1:14" x14ac:dyDescent="0.45">
      <c r="A28" t="s">
        <v>98</v>
      </c>
      <c r="B28" s="4">
        <v>45349</v>
      </c>
      <c r="C28" t="s">
        <v>66</v>
      </c>
      <c r="D28" t="s">
        <v>44</v>
      </c>
      <c r="E28" t="s">
        <v>23</v>
      </c>
      <c r="F28" t="str">
        <f>_xlfn.XLOOKUP(C28,Salespeople!$A$2:$A$11,Salespeople!$C$2:$C$11)</f>
        <v>Americas</v>
      </c>
      <c r="G28" t="str">
        <f>_xlfn.XLOOKUP(C28,Salespeople!$A$2:$A$11,Salespeople!$D$2:$D$11)</f>
        <v>United States</v>
      </c>
      <c r="H28" s="3">
        <v>15</v>
      </c>
      <c r="K28" s="8"/>
      <c r="L28" s="6"/>
      <c r="M28" s="6"/>
      <c r="N28" s="6"/>
    </row>
    <row r="29" spans="1:14" x14ac:dyDescent="0.45">
      <c r="A29" t="s">
        <v>99</v>
      </c>
      <c r="B29" s="4">
        <v>45426</v>
      </c>
      <c r="C29" t="s">
        <v>38</v>
      </c>
      <c r="D29" t="s">
        <v>53</v>
      </c>
      <c r="E29" t="s">
        <v>23</v>
      </c>
      <c r="F29" t="str">
        <f>_xlfn.XLOOKUP(C29,Salespeople!$A$2:$A$11,Salespeople!$C$2:$C$11)</f>
        <v>Americas</v>
      </c>
      <c r="G29" t="str">
        <f>_xlfn.XLOOKUP(C29,Salespeople!$A$2:$A$11,Salespeople!$D$2:$D$11)</f>
        <v>Brazil</v>
      </c>
      <c r="H29" s="3">
        <v>17</v>
      </c>
      <c r="K29" s="8"/>
      <c r="L29" s="6"/>
      <c r="M29" s="6"/>
      <c r="N29" s="6"/>
    </row>
    <row r="30" spans="1:14" x14ac:dyDescent="0.45">
      <c r="A30" t="s">
        <v>100</v>
      </c>
      <c r="B30" s="4">
        <v>45612</v>
      </c>
      <c r="C30" t="s">
        <v>66</v>
      </c>
      <c r="D30" t="s">
        <v>68</v>
      </c>
      <c r="E30" t="s">
        <v>14</v>
      </c>
      <c r="F30" t="str">
        <f>_xlfn.XLOOKUP(C30,Salespeople!$A$2:$A$11,Salespeople!$C$2:$C$11)</f>
        <v>Americas</v>
      </c>
      <c r="G30" t="str">
        <f>_xlfn.XLOOKUP(C30,Salespeople!$A$2:$A$11,Salespeople!$D$2:$D$11)</f>
        <v>United States</v>
      </c>
      <c r="H30" s="3">
        <v>17</v>
      </c>
      <c r="K30" s="8"/>
      <c r="L30" s="6"/>
      <c r="M30" s="6"/>
      <c r="N30" s="6"/>
    </row>
    <row r="31" spans="1:14" x14ac:dyDescent="0.45">
      <c r="A31" t="s">
        <v>101</v>
      </c>
      <c r="B31" s="4">
        <v>45370</v>
      </c>
      <c r="C31" t="s">
        <v>83</v>
      </c>
      <c r="D31" t="s">
        <v>53</v>
      </c>
      <c r="E31" t="s">
        <v>23</v>
      </c>
      <c r="F31" t="str">
        <f>_xlfn.XLOOKUP(C31,Salespeople!$A$2:$A$11,Salespeople!$C$2:$C$11)</f>
        <v>EMEA</v>
      </c>
      <c r="G31" t="str">
        <f>_xlfn.XLOOKUP(C31,Salespeople!$A$2:$A$11,Salespeople!$D$2:$D$11)</f>
        <v>United Arab Emirates</v>
      </c>
      <c r="H31" s="3">
        <v>18</v>
      </c>
      <c r="K31" s="8"/>
      <c r="L31" s="6"/>
      <c r="M31" s="6"/>
      <c r="N31" s="6"/>
    </row>
    <row r="32" spans="1:14" x14ac:dyDescent="0.45">
      <c r="A32" t="s">
        <v>102</v>
      </c>
      <c r="B32" s="4">
        <v>45598</v>
      </c>
      <c r="C32" t="s">
        <v>83</v>
      </c>
      <c r="D32" t="s">
        <v>103</v>
      </c>
      <c r="E32" t="s">
        <v>23</v>
      </c>
      <c r="F32" t="str">
        <f>_xlfn.XLOOKUP(C32,Salespeople!$A$2:$A$11,Salespeople!$C$2:$C$11)</f>
        <v>EMEA</v>
      </c>
      <c r="G32" t="str">
        <f>_xlfn.XLOOKUP(C32,Salespeople!$A$2:$A$11,Salespeople!$D$2:$D$11)</f>
        <v>United Arab Emirates</v>
      </c>
      <c r="H32" s="3">
        <v>4</v>
      </c>
      <c r="K32" s="8"/>
      <c r="L32" s="6"/>
      <c r="M32" s="6"/>
      <c r="N32" s="6"/>
    </row>
    <row r="33" spans="1:14" x14ac:dyDescent="0.45">
      <c r="A33" t="s">
        <v>105</v>
      </c>
      <c r="B33" s="4">
        <v>45449</v>
      </c>
      <c r="C33" t="s">
        <v>51</v>
      </c>
      <c r="D33" t="s">
        <v>19</v>
      </c>
      <c r="E33" t="s">
        <v>23</v>
      </c>
      <c r="F33" t="str">
        <f>_xlfn.XLOOKUP(C33,Salespeople!$A$2:$A$11,Salespeople!$C$2:$C$11)</f>
        <v>Americas</v>
      </c>
      <c r="G33" t="str">
        <f>_xlfn.XLOOKUP(C33,Salespeople!$A$2:$A$11,Salespeople!$D$2:$D$11)</f>
        <v>Mexico</v>
      </c>
      <c r="H33" s="3">
        <v>19</v>
      </c>
      <c r="K33" s="8"/>
      <c r="L33" s="6"/>
      <c r="M33" s="6"/>
      <c r="N33" s="6"/>
    </row>
    <row r="34" spans="1:14" x14ac:dyDescent="0.45">
      <c r="A34" t="s">
        <v>106</v>
      </c>
      <c r="B34" s="4">
        <v>45335</v>
      </c>
      <c r="C34" t="s">
        <v>60</v>
      </c>
      <c r="D34" t="s">
        <v>68</v>
      </c>
      <c r="E34" t="s">
        <v>23</v>
      </c>
      <c r="F34" t="str">
        <f>_xlfn.XLOOKUP(C34,Salespeople!$A$2:$A$11,Salespeople!$C$2:$C$11)</f>
        <v>APAC</v>
      </c>
      <c r="G34" t="str">
        <f>_xlfn.XLOOKUP(C34,Salespeople!$A$2:$A$11,Salespeople!$D$2:$D$11)</f>
        <v>Japan</v>
      </c>
      <c r="H34" s="3">
        <v>25</v>
      </c>
      <c r="K34" s="8"/>
      <c r="L34" s="6"/>
      <c r="M34" s="6"/>
      <c r="N34" s="6"/>
    </row>
    <row r="35" spans="1:14" x14ac:dyDescent="0.45">
      <c r="A35" t="s">
        <v>107</v>
      </c>
      <c r="B35" s="4">
        <v>45357</v>
      </c>
      <c r="C35" t="s">
        <v>60</v>
      </c>
      <c r="D35" t="s">
        <v>62</v>
      </c>
      <c r="E35" t="s">
        <v>23</v>
      </c>
      <c r="F35" t="str">
        <f>_xlfn.XLOOKUP(C35,Salespeople!$A$2:$A$11,Salespeople!$C$2:$C$11)</f>
        <v>APAC</v>
      </c>
      <c r="G35" t="str">
        <f>_xlfn.XLOOKUP(C35,Salespeople!$A$2:$A$11,Salespeople!$D$2:$D$11)</f>
        <v>Japan</v>
      </c>
      <c r="H35" s="3">
        <v>9</v>
      </c>
      <c r="K35" s="8"/>
      <c r="L35" s="6"/>
      <c r="M35" s="6"/>
      <c r="N35" s="6"/>
    </row>
    <row r="36" spans="1:14" x14ac:dyDescent="0.45">
      <c r="A36" t="s">
        <v>108</v>
      </c>
      <c r="B36" s="4">
        <v>45400</v>
      </c>
      <c r="C36" t="s">
        <v>38</v>
      </c>
      <c r="D36" t="s">
        <v>53</v>
      </c>
      <c r="E36" t="s">
        <v>14</v>
      </c>
      <c r="F36" t="str">
        <f>_xlfn.XLOOKUP(C36,Salespeople!$A$2:$A$11,Salespeople!$C$2:$C$11)</f>
        <v>Americas</v>
      </c>
      <c r="G36" t="str">
        <f>_xlfn.XLOOKUP(C36,Salespeople!$A$2:$A$11,Salespeople!$D$2:$D$11)</f>
        <v>Brazil</v>
      </c>
      <c r="H36" s="3">
        <v>23</v>
      </c>
      <c r="K36" s="8"/>
      <c r="L36" s="6"/>
      <c r="M36" s="6"/>
      <c r="N36" s="6"/>
    </row>
    <row r="37" spans="1:14" x14ac:dyDescent="0.45">
      <c r="A37" t="s">
        <v>109</v>
      </c>
      <c r="B37" s="4">
        <v>45657</v>
      </c>
      <c r="C37" t="s">
        <v>66</v>
      </c>
      <c r="D37" t="s">
        <v>44</v>
      </c>
      <c r="E37" t="s">
        <v>14</v>
      </c>
      <c r="F37" t="str">
        <f>_xlfn.XLOOKUP(C37,Salespeople!$A$2:$A$11,Salespeople!$C$2:$C$11)</f>
        <v>Americas</v>
      </c>
      <c r="G37" t="str">
        <f>_xlfn.XLOOKUP(C37,Salespeople!$A$2:$A$11,Salespeople!$D$2:$D$11)</f>
        <v>United States</v>
      </c>
      <c r="H37" s="3">
        <v>21</v>
      </c>
      <c r="K37" s="8"/>
      <c r="L37" s="6"/>
      <c r="M37" s="6"/>
      <c r="N37" s="6"/>
    </row>
    <row r="38" spans="1:14" x14ac:dyDescent="0.45">
      <c r="A38" t="s">
        <v>110</v>
      </c>
      <c r="B38" s="4">
        <v>45516</v>
      </c>
      <c r="C38" t="s">
        <v>38</v>
      </c>
      <c r="D38" t="s">
        <v>103</v>
      </c>
      <c r="E38" t="s">
        <v>23</v>
      </c>
      <c r="F38" t="str">
        <f>_xlfn.XLOOKUP(C38,Salespeople!$A$2:$A$11,Salespeople!$C$2:$C$11)</f>
        <v>Americas</v>
      </c>
      <c r="G38" t="str">
        <f>_xlfn.XLOOKUP(C38,Salespeople!$A$2:$A$11,Salespeople!$D$2:$D$11)</f>
        <v>Brazil</v>
      </c>
      <c r="H38" s="3">
        <v>8</v>
      </c>
      <c r="K38" s="8"/>
      <c r="L38" s="6"/>
      <c r="M38" s="6"/>
      <c r="N38" s="6"/>
    </row>
    <row r="39" spans="1:14" x14ac:dyDescent="0.45">
      <c r="A39" t="s">
        <v>111</v>
      </c>
      <c r="B39" s="4">
        <v>45324</v>
      </c>
      <c r="C39" t="s">
        <v>83</v>
      </c>
      <c r="D39" t="s">
        <v>19</v>
      </c>
      <c r="E39" t="s">
        <v>14</v>
      </c>
      <c r="F39" t="str">
        <f>_xlfn.XLOOKUP(C39,Salespeople!$A$2:$A$11,Salespeople!$C$2:$C$11)</f>
        <v>EMEA</v>
      </c>
      <c r="G39" t="str">
        <f>_xlfn.XLOOKUP(C39,Salespeople!$A$2:$A$11,Salespeople!$D$2:$D$11)</f>
        <v>United Arab Emirates</v>
      </c>
      <c r="H39" s="3">
        <v>18</v>
      </c>
      <c r="K39" s="8"/>
      <c r="L39" s="6"/>
      <c r="M39" s="6"/>
      <c r="N39" s="6"/>
    </row>
    <row r="40" spans="1:14" x14ac:dyDescent="0.45">
      <c r="A40" t="s">
        <v>112</v>
      </c>
      <c r="B40" s="4">
        <v>45593</v>
      </c>
      <c r="C40" t="s">
        <v>51</v>
      </c>
      <c r="D40" t="s">
        <v>19</v>
      </c>
      <c r="E40" t="s">
        <v>23</v>
      </c>
      <c r="F40" t="str">
        <f>_xlfn.XLOOKUP(C40,Salespeople!$A$2:$A$11,Salespeople!$C$2:$C$11)</f>
        <v>Americas</v>
      </c>
      <c r="G40" t="str">
        <f>_xlfn.XLOOKUP(C40,Salespeople!$A$2:$A$11,Salespeople!$D$2:$D$11)</f>
        <v>Mexico</v>
      </c>
      <c r="H40" s="3">
        <v>23</v>
      </c>
      <c r="K40" s="8"/>
      <c r="L40" s="6"/>
      <c r="M40" s="6"/>
      <c r="N40" s="6"/>
    </row>
    <row r="41" spans="1:14" x14ac:dyDescent="0.45">
      <c r="A41" t="s">
        <v>113</v>
      </c>
      <c r="B41" s="4">
        <v>45409</v>
      </c>
      <c r="C41" t="s">
        <v>17</v>
      </c>
      <c r="D41" t="s">
        <v>91</v>
      </c>
      <c r="E41" t="s">
        <v>23</v>
      </c>
      <c r="F41" t="str">
        <f>_xlfn.XLOOKUP(C41,Salespeople!$A$2:$A$11,Salespeople!$C$2:$C$11)</f>
        <v>EMEA</v>
      </c>
      <c r="G41" t="str">
        <f>_xlfn.XLOOKUP(C41,Salespeople!$A$2:$A$11,Salespeople!$D$2:$D$11)</f>
        <v>Portugal</v>
      </c>
      <c r="H41" s="3">
        <v>11</v>
      </c>
      <c r="K41" s="8"/>
      <c r="L41" s="6"/>
      <c r="M41" s="6"/>
      <c r="N41" s="6"/>
    </row>
    <row r="42" spans="1:14" x14ac:dyDescent="0.45">
      <c r="A42" t="s">
        <v>114</v>
      </c>
      <c r="B42" s="4">
        <v>45555</v>
      </c>
      <c r="C42" t="s">
        <v>51</v>
      </c>
      <c r="D42" t="s">
        <v>79</v>
      </c>
      <c r="E42" t="s">
        <v>14</v>
      </c>
      <c r="F42" t="str">
        <f>_xlfn.XLOOKUP(C42,Salespeople!$A$2:$A$11,Salespeople!$C$2:$C$11)</f>
        <v>Americas</v>
      </c>
      <c r="G42" t="str">
        <f>_xlfn.XLOOKUP(C42,Salespeople!$A$2:$A$11,Salespeople!$D$2:$D$11)</f>
        <v>Mexico</v>
      </c>
      <c r="H42" s="3">
        <v>16</v>
      </c>
      <c r="K42" s="8"/>
      <c r="L42" s="6"/>
      <c r="M42" s="6"/>
      <c r="N42" s="6"/>
    </row>
    <row r="43" spans="1:14" x14ac:dyDescent="0.45">
      <c r="A43" t="s">
        <v>115</v>
      </c>
      <c r="B43" s="4">
        <v>45568</v>
      </c>
      <c r="C43" t="s">
        <v>26</v>
      </c>
      <c r="D43" t="s">
        <v>28</v>
      </c>
      <c r="E43" t="s">
        <v>14</v>
      </c>
      <c r="F43" t="str">
        <f>_xlfn.XLOOKUP(C43,Salespeople!$A$2:$A$11,Salespeople!$C$2:$C$11)</f>
        <v>APAC</v>
      </c>
      <c r="G43" t="str">
        <f>_xlfn.XLOOKUP(C43,Salespeople!$A$2:$A$11,Salespeople!$D$2:$D$11)</f>
        <v>Singapore</v>
      </c>
      <c r="H43" s="3">
        <v>19</v>
      </c>
      <c r="K43" s="8"/>
      <c r="L43" s="6"/>
      <c r="M43" s="6"/>
      <c r="N43" s="6"/>
    </row>
    <row r="44" spans="1:14" x14ac:dyDescent="0.45">
      <c r="A44" t="s">
        <v>116</v>
      </c>
      <c r="B44" s="4">
        <v>45416</v>
      </c>
      <c r="C44" t="s">
        <v>60</v>
      </c>
      <c r="D44" t="s">
        <v>53</v>
      </c>
      <c r="E44" t="s">
        <v>48</v>
      </c>
      <c r="F44" t="str">
        <f>_xlfn.XLOOKUP(C44,Salespeople!$A$2:$A$11,Salespeople!$C$2:$C$11)</f>
        <v>APAC</v>
      </c>
      <c r="G44" t="str">
        <f>_xlfn.XLOOKUP(C44,Salespeople!$A$2:$A$11,Salespeople!$D$2:$D$11)</f>
        <v>Japan</v>
      </c>
      <c r="H44" s="3">
        <v>7</v>
      </c>
      <c r="K44" s="8"/>
      <c r="L44" s="6"/>
      <c r="M44" s="6"/>
      <c r="N44" s="6"/>
    </row>
    <row r="45" spans="1:14" x14ac:dyDescent="0.45">
      <c r="A45" t="s">
        <v>117</v>
      </c>
      <c r="B45" s="4">
        <v>45341</v>
      </c>
      <c r="C45" t="s">
        <v>33</v>
      </c>
      <c r="D45" t="s">
        <v>56</v>
      </c>
      <c r="E45" t="s">
        <v>48</v>
      </c>
      <c r="F45" t="str">
        <f>_xlfn.XLOOKUP(C45,Salespeople!$A$2:$A$11,Salespeople!$C$2:$C$11)</f>
        <v>EMEA</v>
      </c>
      <c r="G45" t="str">
        <f>_xlfn.XLOOKUP(C45,Salespeople!$A$2:$A$11,Salespeople!$D$2:$D$11)</f>
        <v>Kenya</v>
      </c>
      <c r="H45" s="3">
        <v>14</v>
      </c>
      <c r="K45" s="8"/>
      <c r="L45" s="6"/>
      <c r="M45" s="6"/>
      <c r="N45" s="6"/>
    </row>
    <row r="46" spans="1:14" x14ac:dyDescent="0.45">
      <c r="A46" t="s">
        <v>118</v>
      </c>
      <c r="B46" s="4">
        <v>45319</v>
      </c>
      <c r="C46" t="s">
        <v>17</v>
      </c>
      <c r="D46" t="s">
        <v>19</v>
      </c>
      <c r="E46" t="s">
        <v>48</v>
      </c>
      <c r="F46" t="str">
        <f>_xlfn.XLOOKUP(C46,Salespeople!$A$2:$A$11,Salespeople!$C$2:$C$11)</f>
        <v>EMEA</v>
      </c>
      <c r="G46" t="str">
        <f>_xlfn.XLOOKUP(C46,Salespeople!$A$2:$A$11,Salespeople!$D$2:$D$11)</f>
        <v>Portugal</v>
      </c>
      <c r="H46" s="3">
        <v>24</v>
      </c>
      <c r="K46" s="8"/>
      <c r="L46" s="6"/>
      <c r="M46" s="6"/>
      <c r="N46" s="6"/>
    </row>
    <row r="47" spans="1:14" x14ac:dyDescent="0.45">
      <c r="A47" t="s">
        <v>119</v>
      </c>
      <c r="B47" s="4">
        <v>45347</v>
      </c>
      <c r="C47" t="s">
        <v>51</v>
      </c>
      <c r="D47" t="s">
        <v>88</v>
      </c>
      <c r="E47" t="s">
        <v>23</v>
      </c>
      <c r="F47" t="str">
        <f>_xlfn.XLOOKUP(C47,Salespeople!$A$2:$A$11,Salespeople!$C$2:$C$11)</f>
        <v>Americas</v>
      </c>
      <c r="G47" t="str">
        <f>_xlfn.XLOOKUP(C47,Salespeople!$A$2:$A$11,Salespeople!$D$2:$D$11)</f>
        <v>Mexico</v>
      </c>
      <c r="H47" s="3">
        <v>18</v>
      </c>
      <c r="K47" s="8"/>
      <c r="L47" s="6"/>
      <c r="M47" s="6"/>
      <c r="N47" s="6"/>
    </row>
    <row r="48" spans="1:14" x14ac:dyDescent="0.45">
      <c r="A48" t="s">
        <v>120</v>
      </c>
      <c r="B48" s="4">
        <v>45363</v>
      </c>
      <c r="C48" t="s">
        <v>33</v>
      </c>
      <c r="D48" t="s">
        <v>121</v>
      </c>
      <c r="E48" t="s">
        <v>48</v>
      </c>
      <c r="F48" t="str">
        <f>_xlfn.XLOOKUP(C48,Salespeople!$A$2:$A$11,Salespeople!$C$2:$C$11)</f>
        <v>EMEA</v>
      </c>
      <c r="G48" t="str">
        <f>_xlfn.XLOOKUP(C48,Salespeople!$A$2:$A$11,Salespeople!$D$2:$D$11)</f>
        <v>Kenya</v>
      </c>
      <c r="H48" s="3">
        <v>15</v>
      </c>
      <c r="K48" s="8"/>
      <c r="L48" s="6"/>
      <c r="M48" s="6"/>
      <c r="N48" s="6"/>
    </row>
    <row r="49" spans="1:14" x14ac:dyDescent="0.45">
      <c r="A49" t="s">
        <v>123</v>
      </c>
      <c r="B49" s="4">
        <v>45330</v>
      </c>
      <c r="C49" t="s">
        <v>60</v>
      </c>
      <c r="D49" t="s">
        <v>53</v>
      </c>
      <c r="E49" t="s">
        <v>14</v>
      </c>
      <c r="F49" t="str">
        <f>_xlfn.XLOOKUP(C49,Salespeople!$A$2:$A$11,Salespeople!$C$2:$C$11)</f>
        <v>APAC</v>
      </c>
      <c r="G49" t="str">
        <f>_xlfn.XLOOKUP(C49,Salespeople!$A$2:$A$11,Salespeople!$D$2:$D$11)</f>
        <v>Japan</v>
      </c>
      <c r="H49" s="3">
        <v>4</v>
      </c>
      <c r="K49" s="8"/>
      <c r="L49" s="6"/>
      <c r="M49" s="6"/>
      <c r="N49" s="6"/>
    </row>
    <row r="50" spans="1:14" x14ac:dyDescent="0.45">
      <c r="A50" t="s">
        <v>124</v>
      </c>
      <c r="B50" s="4">
        <v>45625</v>
      </c>
      <c r="C50" t="s">
        <v>38</v>
      </c>
      <c r="D50" t="s">
        <v>68</v>
      </c>
      <c r="E50" t="s">
        <v>23</v>
      </c>
      <c r="F50" t="str">
        <f>_xlfn.XLOOKUP(C50,Salespeople!$A$2:$A$11,Salespeople!$C$2:$C$11)</f>
        <v>Americas</v>
      </c>
      <c r="G50" t="str">
        <f>_xlfn.XLOOKUP(C50,Salespeople!$A$2:$A$11,Salespeople!$D$2:$D$11)</f>
        <v>Brazil</v>
      </c>
      <c r="H50" s="3">
        <v>3</v>
      </c>
      <c r="K50" s="8"/>
      <c r="L50" s="6"/>
      <c r="M50" s="6"/>
      <c r="N50" s="6"/>
    </row>
    <row r="51" spans="1:14" x14ac:dyDescent="0.45">
      <c r="A51" t="s">
        <v>125</v>
      </c>
      <c r="B51" s="4">
        <v>45377</v>
      </c>
      <c r="C51" t="s">
        <v>33</v>
      </c>
      <c r="D51" t="s">
        <v>103</v>
      </c>
      <c r="E51" t="s">
        <v>48</v>
      </c>
      <c r="F51" t="str">
        <f>_xlfn.XLOOKUP(C51,Salespeople!$A$2:$A$11,Salespeople!$C$2:$C$11)</f>
        <v>EMEA</v>
      </c>
      <c r="G51" t="str">
        <f>_xlfn.XLOOKUP(C51,Salespeople!$A$2:$A$11,Salespeople!$D$2:$D$11)</f>
        <v>Kenya</v>
      </c>
      <c r="H51" s="3">
        <v>7</v>
      </c>
      <c r="K51" s="8"/>
      <c r="L51" s="6"/>
      <c r="M51" s="6"/>
      <c r="N51" s="6"/>
    </row>
    <row r="52" spans="1:14" x14ac:dyDescent="0.45">
      <c r="A52" t="s">
        <v>126</v>
      </c>
      <c r="B52" s="4">
        <v>45322</v>
      </c>
      <c r="C52" t="s">
        <v>26</v>
      </c>
      <c r="D52" t="s">
        <v>44</v>
      </c>
      <c r="E52" t="s">
        <v>23</v>
      </c>
      <c r="F52" t="str">
        <f>_xlfn.XLOOKUP(C52,Salespeople!$A$2:$A$11,Salespeople!$C$2:$C$11)</f>
        <v>APAC</v>
      </c>
      <c r="G52" t="str">
        <f>_xlfn.XLOOKUP(C52,Salespeople!$A$2:$A$11,Salespeople!$D$2:$D$11)</f>
        <v>Singapore</v>
      </c>
      <c r="H52" s="3">
        <v>13</v>
      </c>
      <c r="K52" s="8"/>
      <c r="L52" s="6"/>
      <c r="M52" s="6"/>
      <c r="N52" s="6"/>
    </row>
    <row r="53" spans="1:14" x14ac:dyDescent="0.45">
      <c r="A53" t="s">
        <v>127</v>
      </c>
      <c r="B53" s="4">
        <v>45524</v>
      </c>
      <c r="C53" t="s">
        <v>66</v>
      </c>
      <c r="D53" t="s">
        <v>44</v>
      </c>
      <c r="E53" t="s">
        <v>14</v>
      </c>
      <c r="F53" t="str">
        <f>_xlfn.XLOOKUP(C53,Salespeople!$A$2:$A$11,Salespeople!$C$2:$C$11)</f>
        <v>Americas</v>
      </c>
      <c r="G53" t="str">
        <f>_xlfn.XLOOKUP(C53,Salespeople!$A$2:$A$11,Salespeople!$D$2:$D$11)</f>
        <v>United States</v>
      </c>
      <c r="H53" s="3">
        <v>24</v>
      </c>
      <c r="K53" s="8"/>
      <c r="L53" s="6"/>
      <c r="M53" s="6"/>
      <c r="N53" s="6"/>
    </row>
    <row r="54" spans="1:14" x14ac:dyDescent="0.45">
      <c r="A54" t="s">
        <v>128</v>
      </c>
      <c r="B54" s="4">
        <v>45371</v>
      </c>
      <c r="C54" t="s">
        <v>51</v>
      </c>
      <c r="D54" t="s">
        <v>79</v>
      </c>
      <c r="E54" t="s">
        <v>23</v>
      </c>
      <c r="F54" t="str">
        <f>_xlfn.XLOOKUP(C54,Salespeople!$A$2:$A$11,Salespeople!$C$2:$C$11)</f>
        <v>Americas</v>
      </c>
      <c r="G54" t="str">
        <f>_xlfn.XLOOKUP(C54,Salespeople!$A$2:$A$11,Salespeople!$D$2:$D$11)</f>
        <v>Mexico</v>
      </c>
      <c r="H54" s="3">
        <v>2</v>
      </c>
      <c r="K54" s="8"/>
      <c r="L54" s="6"/>
      <c r="M54" s="6"/>
      <c r="N54" s="6"/>
    </row>
    <row r="55" spans="1:14" x14ac:dyDescent="0.45">
      <c r="A55" t="s">
        <v>129</v>
      </c>
      <c r="B55" s="4">
        <v>45452</v>
      </c>
      <c r="C55" t="s">
        <v>131</v>
      </c>
      <c r="D55" t="s">
        <v>19</v>
      </c>
      <c r="E55" t="s">
        <v>14</v>
      </c>
      <c r="F55" t="str">
        <f>_xlfn.XLOOKUP(C55,Salespeople!$A$2:$A$11,Salespeople!$C$2:$C$11)</f>
        <v>EMEA</v>
      </c>
      <c r="G55" t="str">
        <f>_xlfn.XLOOKUP(C55,Salespeople!$A$2:$A$11,Salespeople!$D$2:$D$11)</f>
        <v>United Kingdom</v>
      </c>
      <c r="H55" s="3">
        <v>16</v>
      </c>
      <c r="K55" s="8"/>
      <c r="L55" s="6"/>
      <c r="M55" s="6"/>
      <c r="N55" s="6"/>
    </row>
    <row r="56" spans="1:14" x14ac:dyDescent="0.45">
      <c r="A56" t="s">
        <v>133</v>
      </c>
      <c r="B56" s="4">
        <v>45321</v>
      </c>
      <c r="C56" t="s">
        <v>38</v>
      </c>
      <c r="D56" t="s">
        <v>134</v>
      </c>
      <c r="E56" t="s">
        <v>23</v>
      </c>
      <c r="F56" t="str">
        <f>_xlfn.XLOOKUP(C56,Salespeople!$A$2:$A$11,Salespeople!$C$2:$C$11)</f>
        <v>Americas</v>
      </c>
      <c r="G56" t="str">
        <f>_xlfn.XLOOKUP(C56,Salespeople!$A$2:$A$11,Salespeople!$D$2:$D$11)</f>
        <v>Brazil</v>
      </c>
      <c r="H56" s="3">
        <v>3</v>
      </c>
      <c r="K56" s="8"/>
      <c r="L56" s="6"/>
      <c r="M56" s="6"/>
      <c r="N56" s="6"/>
    </row>
    <row r="57" spans="1:14" x14ac:dyDescent="0.45">
      <c r="A57" t="s">
        <v>136</v>
      </c>
      <c r="B57" s="4">
        <v>45637</v>
      </c>
      <c r="C57" t="s">
        <v>51</v>
      </c>
      <c r="D57" t="s">
        <v>44</v>
      </c>
      <c r="E57" t="s">
        <v>23</v>
      </c>
      <c r="F57" t="str">
        <f>_xlfn.XLOOKUP(C57,Salespeople!$A$2:$A$11,Salespeople!$C$2:$C$11)</f>
        <v>Americas</v>
      </c>
      <c r="G57" t="str">
        <f>_xlfn.XLOOKUP(C57,Salespeople!$A$2:$A$11,Salespeople!$D$2:$D$11)</f>
        <v>Mexico</v>
      </c>
      <c r="H57" s="3">
        <v>19</v>
      </c>
      <c r="K57" s="8"/>
      <c r="L57" s="6"/>
      <c r="M57" s="6"/>
      <c r="N57" s="6"/>
    </row>
    <row r="58" spans="1:14" x14ac:dyDescent="0.45">
      <c r="A58" t="s">
        <v>137</v>
      </c>
      <c r="B58" s="4">
        <v>45588</v>
      </c>
      <c r="C58" t="s">
        <v>139</v>
      </c>
      <c r="D58" t="s">
        <v>19</v>
      </c>
      <c r="E58" t="s">
        <v>14</v>
      </c>
      <c r="F58" t="str">
        <f>_xlfn.XLOOKUP(C58,Salespeople!$A$2:$A$11,Salespeople!$C$2:$C$11)</f>
        <v>Americas</v>
      </c>
      <c r="G58" t="str">
        <f>_xlfn.XLOOKUP(C58,Salespeople!$A$2:$A$11,Salespeople!$D$2:$D$11)</f>
        <v>Canada</v>
      </c>
      <c r="H58" s="3">
        <v>3</v>
      </c>
      <c r="K58" s="8"/>
      <c r="L58" s="6"/>
      <c r="M58" s="6"/>
      <c r="N58" s="6"/>
    </row>
    <row r="59" spans="1:14" x14ac:dyDescent="0.45">
      <c r="A59" t="s">
        <v>141</v>
      </c>
      <c r="B59" s="4">
        <v>45628</v>
      </c>
      <c r="C59" t="s">
        <v>139</v>
      </c>
      <c r="D59" t="s">
        <v>40</v>
      </c>
      <c r="E59" t="s">
        <v>14</v>
      </c>
      <c r="F59" t="str">
        <f>_xlfn.XLOOKUP(C59,Salespeople!$A$2:$A$11,Salespeople!$C$2:$C$11)</f>
        <v>Americas</v>
      </c>
      <c r="G59" t="str">
        <f>_xlfn.XLOOKUP(C59,Salespeople!$A$2:$A$11,Salespeople!$D$2:$D$11)</f>
        <v>Canada</v>
      </c>
      <c r="H59" s="3">
        <v>11</v>
      </c>
      <c r="K59" s="8"/>
      <c r="L59" s="6"/>
      <c r="M59" s="6"/>
      <c r="N59" s="6"/>
    </row>
    <row r="60" spans="1:14" x14ac:dyDescent="0.45">
      <c r="A60" t="s">
        <v>142</v>
      </c>
      <c r="B60" s="4">
        <v>45396</v>
      </c>
      <c r="C60" t="s">
        <v>83</v>
      </c>
      <c r="D60" t="s">
        <v>88</v>
      </c>
      <c r="E60" t="s">
        <v>48</v>
      </c>
      <c r="F60" t="str">
        <f>_xlfn.XLOOKUP(C60,Salespeople!$A$2:$A$11,Salespeople!$C$2:$C$11)</f>
        <v>EMEA</v>
      </c>
      <c r="G60" t="str">
        <f>_xlfn.XLOOKUP(C60,Salespeople!$A$2:$A$11,Salespeople!$D$2:$D$11)</f>
        <v>United Arab Emirates</v>
      </c>
      <c r="H60" s="3">
        <v>13</v>
      </c>
      <c r="K60" s="8"/>
      <c r="L60" s="6"/>
      <c r="M60" s="6"/>
      <c r="N60" s="6"/>
    </row>
    <row r="61" spans="1:14" x14ac:dyDescent="0.45">
      <c r="A61" t="s">
        <v>143</v>
      </c>
      <c r="B61" s="4">
        <v>45635</v>
      </c>
      <c r="C61" t="s">
        <v>66</v>
      </c>
      <c r="D61" t="s">
        <v>103</v>
      </c>
      <c r="E61" t="s">
        <v>48</v>
      </c>
      <c r="F61" t="str">
        <f>_xlfn.XLOOKUP(C61,Salespeople!$A$2:$A$11,Salespeople!$C$2:$C$11)</f>
        <v>Americas</v>
      </c>
      <c r="G61" t="str">
        <f>_xlfn.XLOOKUP(C61,Salespeople!$A$2:$A$11,Salespeople!$D$2:$D$11)</f>
        <v>United States</v>
      </c>
      <c r="H61" s="3">
        <v>25</v>
      </c>
      <c r="K61" s="8"/>
      <c r="L61" s="6"/>
      <c r="M61" s="6"/>
      <c r="N61" s="6"/>
    </row>
    <row r="62" spans="1:14" x14ac:dyDescent="0.45">
      <c r="A62" t="s">
        <v>144</v>
      </c>
      <c r="B62" s="4">
        <v>45296</v>
      </c>
      <c r="C62" t="s">
        <v>60</v>
      </c>
      <c r="D62" t="s">
        <v>40</v>
      </c>
      <c r="E62" t="s">
        <v>14</v>
      </c>
      <c r="F62" t="str">
        <f>_xlfn.XLOOKUP(C62,Salespeople!$A$2:$A$11,Salespeople!$C$2:$C$11)</f>
        <v>APAC</v>
      </c>
      <c r="G62" t="str">
        <f>_xlfn.XLOOKUP(C62,Salespeople!$A$2:$A$11,Salespeople!$D$2:$D$11)</f>
        <v>Japan</v>
      </c>
      <c r="H62" s="3">
        <v>4</v>
      </c>
      <c r="K62" s="8"/>
      <c r="L62" s="6"/>
      <c r="M62" s="6"/>
      <c r="N62" s="6"/>
    </row>
    <row r="63" spans="1:14" x14ac:dyDescent="0.45">
      <c r="A63" t="s">
        <v>145</v>
      </c>
      <c r="B63" s="4">
        <v>45567</v>
      </c>
      <c r="C63" t="s">
        <v>51</v>
      </c>
      <c r="D63" t="s">
        <v>62</v>
      </c>
      <c r="E63" t="s">
        <v>48</v>
      </c>
      <c r="F63" t="str">
        <f>_xlfn.XLOOKUP(C63,Salespeople!$A$2:$A$11,Salespeople!$C$2:$C$11)</f>
        <v>Americas</v>
      </c>
      <c r="G63" t="str">
        <f>_xlfn.XLOOKUP(C63,Salespeople!$A$2:$A$11,Salespeople!$D$2:$D$11)</f>
        <v>Mexico</v>
      </c>
      <c r="H63" s="3">
        <v>5</v>
      </c>
      <c r="K63" s="8"/>
      <c r="L63" s="6"/>
      <c r="M63" s="6"/>
      <c r="N63" s="6"/>
    </row>
    <row r="64" spans="1:14" x14ac:dyDescent="0.45">
      <c r="A64" t="s">
        <v>146</v>
      </c>
      <c r="B64" s="4">
        <v>45327</v>
      </c>
      <c r="C64" t="s">
        <v>51</v>
      </c>
      <c r="D64" t="s">
        <v>56</v>
      </c>
      <c r="E64" t="s">
        <v>48</v>
      </c>
      <c r="F64" t="str">
        <f>_xlfn.XLOOKUP(C64,Salespeople!$A$2:$A$11,Salespeople!$C$2:$C$11)</f>
        <v>Americas</v>
      </c>
      <c r="G64" t="str">
        <f>_xlfn.XLOOKUP(C64,Salespeople!$A$2:$A$11,Salespeople!$D$2:$D$11)</f>
        <v>Mexico</v>
      </c>
      <c r="H64" s="3">
        <v>6</v>
      </c>
      <c r="K64" s="8"/>
      <c r="L64" s="6"/>
      <c r="M64" s="6"/>
      <c r="N64" s="6"/>
    </row>
    <row r="65" spans="1:14" x14ac:dyDescent="0.45">
      <c r="A65" t="s">
        <v>147</v>
      </c>
      <c r="B65" s="4">
        <v>45570</v>
      </c>
      <c r="C65" t="s">
        <v>66</v>
      </c>
      <c r="D65" t="s">
        <v>40</v>
      </c>
      <c r="E65" t="s">
        <v>14</v>
      </c>
      <c r="F65" t="str">
        <f>_xlfn.XLOOKUP(C65,Salespeople!$A$2:$A$11,Salespeople!$C$2:$C$11)</f>
        <v>Americas</v>
      </c>
      <c r="G65" t="str">
        <f>_xlfn.XLOOKUP(C65,Salespeople!$A$2:$A$11,Salespeople!$D$2:$D$11)</f>
        <v>United States</v>
      </c>
      <c r="H65" s="3">
        <v>17</v>
      </c>
      <c r="K65" s="8"/>
      <c r="L65" s="6"/>
      <c r="M65" s="6"/>
      <c r="N65" s="6"/>
    </row>
    <row r="66" spans="1:14" x14ac:dyDescent="0.45">
      <c r="A66" t="s">
        <v>148</v>
      </c>
      <c r="B66" s="4">
        <v>45633</v>
      </c>
      <c r="C66" t="s">
        <v>38</v>
      </c>
      <c r="D66" t="s">
        <v>79</v>
      </c>
      <c r="E66" t="s">
        <v>14</v>
      </c>
      <c r="F66" t="str">
        <f>_xlfn.XLOOKUP(C66,Salespeople!$A$2:$A$11,Salespeople!$C$2:$C$11)</f>
        <v>Americas</v>
      </c>
      <c r="G66" t="str">
        <f>_xlfn.XLOOKUP(C66,Salespeople!$A$2:$A$11,Salespeople!$D$2:$D$11)</f>
        <v>Brazil</v>
      </c>
      <c r="H66" s="3">
        <v>4</v>
      </c>
      <c r="K66" s="8"/>
      <c r="L66" s="6"/>
      <c r="M66" s="6"/>
      <c r="N66" s="6"/>
    </row>
    <row r="67" spans="1:14" x14ac:dyDescent="0.45">
      <c r="A67" t="s">
        <v>149</v>
      </c>
      <c r="B67" s="4">
        <v>45427</v>
      </c>
      <c r="C67" t="s">
        <v>17</v>
      </c>
      <c r="D67" t="s">
        <v>91</v>
      </c>
      <c r="E67" t="s">
        <v>23</v>
      </c>
      <c r="F67" t="str">
        <f>_xlfn.XLOOKUP(C67,Salespeople!$A$2:$A$11,Salespeople!$C$2:$C$11)</f>
        <v>EMEA</v>
      </c>
      <c r="G67" t="str">
        <f>_xlfn.XLOOKUP(C67,Salespeople!$A$2:$A$11,Salespeople!$D$2:$D$11)</f>
        <v>Portugal</v>
      </c>
      <c r="H67" s="3">
        <v>24</v>
      </c>
      <c r="K67" s="8"/>
      <c r="L67" s="6"/>
      <c r="M67" s="6"/>
      <c r="N67" s="6"/>
    </row>
    <row r="68" spans="1:14" x14ac:dyDescent="0.45">
      <c r="A68" t="s">
        <v>150</v>
      </c>
      <c r="B68" s="4">
        <v>45431</v>
      </c>
      <c r="C68" t="s">
        <v>66</v>
      </c>
      <c r="D68" t="s">
        <v>40</v>
      </c>
      <c r="E68" t="s">
        <v>23</v>
      </c>
      <c r="F68" t="str">
        <f>_xlfn.XLOOKUP(C68,Salespeople!$A$2:$A$11,Salespeople!$C$2:$C$11)</f>
        <v>Americas</v>
      </c>
      <c r="G68" t="str">
        <f>_xlfn.XLOOKUP(C68,Salespeople!$A$2:$A$11,Salespeople!$D$2:$D$11)</f>
        <v>United States</v>
      </c>
      <c r="H68" s="3">
        <v>23</v>
      </c>
      <c r="K68" s="8"/>
      <c r="L68" s="6"/>
      <c r="M68" s="6"/>
      <c r="N68" s="6"/>
    </row>
    <row r="69" spans="1:14" x14ac:dyDescent="0.45">
      <c r="A69" t="s">
        <v>151</v>
      </c>
      <c r="B69" s="4">
        <v>45396</v>
      </c>
      <c r="C69" t="s">
        <v>66</v>
      </c>
      <c r="D69" t="s">
        <v>62</v>
      </c>
      <c r="E69" t="s">
        <v>48</v>
      </c>
      <c r="F69" t="str">
        <f>_xlfn.XLOOKUP(C69,Salespeople!$A$2:$A$11,Salespeople!$C$2:$C$11)</f>
        <v>Americas</v>
      </c>
      <c r="G69" t="str">
        <f>_xlfn.XLOOKUP(C69,Salespeople!$A$2:$A$11,Salespeople!$D$2:$D$11)</f>
        <v>United States</v>
      </c>
      <c r="H69" s="3">
        <v>9</v>
      </c>
      <c r="K69" s="8"/>
      <c r="L69" s="6"/>
      <c r="M69" s="6"/>
      <c r="N69" s="6"/>
    </row>
    <row r="70" spans="1:14" x14ac:dyDescent="0.45">
      <c r="A70" t="s">
        <v>152</v>
      </c>
      <c r="B70" s="4">
        <v>45339</v>
      </c>
      <c r="C70" t="s">
        <v>33</v>
      </c>
      <c r="D70" t="s">
        <v>68</v>
      </c>
      <c r="E70" t="s">
        <v>48</v>
      </c>
      <c r="F70" t="str">
        <f>_xlfn.XLOOKUP(C70,Salespeople!$A$2:$A$11,Salespeople!$C$2:$C$11)</f>
        <v>EMEA</v>
      </c>
      <c r="G70" t="str">
        <f>_xlfn.XLOOKUP(C70,Salespeople!$A$2:$A$11,Salespeople!$D$2:$D$11)</f>
        <v>Kenya</v>
      </c>
      <c r="H70" s="3">
        <v>2</v>
      </c>
      <c r="K70" s="8"/>
      <c r="L70" s="6"/>
      <c r="M70" s="6"/>
      <c r="N70" s="6"/>
    </row>
    <row r="71" spans="1:14" x14ac:dyDescent="0.45">
      <c r="A71" t="s">
        <v>153</v>
      </c>
      <c r="B71" s="4">
        <v>45462</v>
      </c>
      <c r="C71" t="s">
        <v>26</v>
      </c>
      <c r="D71" t="s">
        <v>74</v>
      </c>
      <c r="E71" t="s">
        <v>48</v>
      </c>
      <c r="F71" t="str">
        <f>_xlfn.XLOOKUP(C71,Salespeople!$A$2:$A$11,Salespeople!$C$2:$C$11)</f>
        <v>APAC</v>
      </c>
      <c r="G71" t="str">
        <f>_xlfn.XLOOKUP(C71,Salespeople!$A$2:$A$11,Salespeople!$D$2:$D$11)</f>
        <v>Singapore</v>
      </c>
      <c r="H71" s="3">
        <v>6</v>
      </c>
      <c r="K71" s="8"/>
      <c r="L71" s="6"/>
      <c r="M71" s="6"/>
      <c r="N71" s="6"/>
    </row>
    <row r="72" spans="1:14" x14ac:dyDescent="0.45">
      <c r="A72" t="s">
        <v>154</v>
      </c>
      <c r="B72" s="4">
        <v>45574</v>
      </c>
      <c r="C72" t="s">
        <v>33</v>
      </c>
      <c r="D72" t="s">
        <v>62</v>
      </c>
      <c r="E72" t="s">
        <v>23</v>
      </c>
      <c r="F72" t="str">
        <f>_xlfn.XLOOKUP(C72,Salespeople!$A$2:$A$11,Salespeople!$C$2:$C$11)</f>
        <v>EMEA</v>
      </c>
      <c r="G72" t="str">
        <f>_xlfn.XLOOKUP(C72,Salespeople!$A$2:$A$11,Salespeople!$D$2:$D$11)</f>
        <v>Kenya</v>
      </c>
      <c r="H72" s="3">
        <v>4</v>
      </c>
      <c r="K72" s="8"/>
      <c r="L72" s="6"/>
      <c r="M72" s="6"/>
      <c r="N72" s="6"/>
    </row>
    <row r="73" spans="1:14" x14ac:dyDescent="0.45">
      <c r="A73" t="s">
        <v>155</v>
      </c>
      <c r="B73" s="4">
        <v>45645</v>
      </c>
      <c r="C73" t="s">
        <v>26</v>
      </c>
      <c r="D73" t="s">
        <v>62</v>
      </c>
      <c r="E73" t="s">
        <v>23</v>
      </c>
      <c r="F73" t="str">
        <f>_xlfn.XLOOKUP(C73,Salespeople!$A$2:$A$11,Salespeople!$C$2:$C$11)</f>
        <v>APAC</v>
      </c>
      <c r="G73" t="str">
        <f>_xlfn.XLOOKUP(C73,Salespeople!$A$2:$A$11,Salespeople!$D$2:$D$11)</f>
        <v>Singapore</v>
      </c>
      <c r="H73" s="3">
        <v>12</v>
      </c>
      <c r="K73" s="8"/>
      <c r="L73" s="6"/>
      <c r="M73" s="6"/>
      <c r="N73" s="6"/>
    </row>
    <row r="74" spans="1:14" x14ac:dyDescent="0.45">
      <c r="A74" t="s">
        <v>156</v>
      </c>
      <c r="B74" s="4">
        <v>45512</v>
      </c>
      <c r="C74" t="s">
        <v>26</v>
      </c>
      <c r="D74" t="s">
        <v>19</v>
      </c>
      <c r="E74" t="s">
        <v>48</v>
      </c>
      <c r="F74" t="str">
        <f>_xlfn.XLOOKUP(C74,Salespeople!$A$2:$A$11,Salespeople!$C$2:$C$11)</f>
        <v>APAC</v>
      </c>
      <c r="G74" t="str">
        <f>_xlfn.XLOOKUP(C74,Salespeople!$A$2:$A$11,Salespeople!$D$2:$D$11)</f>
        <v>Singapore</v>
      </c>
      <c r="H74" s="3">
        <v>12</v>
      </c>
      <c r="K74" s="8"/>
      <c r="L74" s="6"/>
      <c r="M74" s="6"/>
      <c r="N74" s="6"/>
    </row>
    <row r="75" spans="1:14" x14ac:dyDescent="0.45">
      <c r="A75" t="s">
        <v>157</v>
      </c>
      <c r="B75" s="4">
        <v>45475</v>
      </c>
      <c r="C75" t="s">
        <v>51</v>
      </c>
      <c r="D75" t="s">
        <v>74</v>
      </c>
      <c r="E75" t="s">
        <v>23</v>
      </c>
      <c r="F75" t="str">
        <f>_xlfn.XLOOKUP(C75,Salespeople!$A$2:$A$11,Salespeople!$C$2:$C$11)</f>
        <v>Americas</v>
      </c>
      <c r="G75" t="str">
        <f>_xlfn.XLOOKUP(C75,Salespeople!$A$2:$A$11,Salespeople!$D$2:$D$11)</f>
        <v>Mexico</v>
      </c>
      <c r="H75" s="3">
        <v>22</v>
      </c>
      <c r="K75" s="8"/>
      <c r="L75" s="6"/>
      <c r="M75" s="6"/>
      <c r="N75" s="6"/>
    </row>
    <row r="76" spans="1:14" x14ac:dyDescent="0.45">
      <c r="A76" t="s">
        <v>158</v>
      </c>
      <c r="B76" s="4">
        <v>45473</v>
      </c>
      <c r="C76" t="s">
        <v>38</v>
      </c>
      <c r="D76" t="s">
        <v>91</v>
      </c>
      <c r="E76" t="s">
        <v>48</v>
      </c>
      <c r="F76" t="str">
        <f>_xlfn.XLOOKUP(C76,Salespeople!$A$2:$A$11,Salespeople!$C$2:$C$11)</f>
        <v>Americas</v>
      </c>
      <c r="G76" t="str">
        <f>_xlfn.XLOOKUP(C76,Salespeople!$A$2:$A$11,Salespeople!$D$2:$D$11)</f>
        <v>Brazil</v>
      </c>
      <c r="H76" s="3">
        <v>20</v>
      </c>
      <c r="K76" s="8"/>
      <c r="L76" s="6"/>
      <c r="M76" s="6"/>
      <c r="N76" s="6"/>
    </row>
    <row r="77" spans="1:14" x14ac:dyDescent="0.45">
      <c r="A77" t="s">
        <v>159</v>
      </c>
      <c r="B77" s="4">
        <v>45413</v>
      </c>
      <c r="C77" t="s">
        <v>26</v>
      </c>
      <c r="D77" t="s">
        <v>53</v>
      </c>
      <c r="E77" t="s">
        <v>23</v>
      </c>
      <c r="F77" t="str">
        <f>_xlfn.XLOOKUP(C77,Salespeople!$A$2:$A$11,Salespeople!$C$2:$C$11)</f>
        <v>APAC</v>
      </c>
      <c r="G77" t="str">
        <f>_xlfn.XLOOKUP(C77,Salespeople!$A$2:$A$11,Salespeople!$D$2:$D$11)</f>
        <v>Singapore</v>
      </c>
      <c r="H77" s="3">
        <v>14</v>
      </c>
      <c r="K77" s="8"/>
      <c r="L77" s="6"/>
      <c r="M77" s="6"/>
      <c r="N77" s="6"/>
    </row>
    <row r="78" spans="1:14" x14ac:dyDescent="0.45">
      <c r="A78" t="s">
        <v>160</v>
      </c>
      <c r="B78" s="4">
        <v>45383</v>
      </c>
      <c r="C78" t="s">
        <v>83</v>
      </c>
      <c r="D78" t="s">
        <v>53</v>
      </c>
      <c r="E78" t="s">
        <v>48</v>
      </c>
      <c r="F78" t="str">
        <f>_xlfn.XLOOKUP(C78,Salespeople!$A$2:$A$11,Salespeople!$C$2:$C$11)</f>
        <v>EMEA</v>
      </c>
      <c r="G78" t="str">
        <f>_xlfn.XLOOKUP(C78,Salespeople!$A$2:$A$11,Salespeople!$D$2:$D$11)</f>
        <v>United Arab Emirates</v>
      </c>
      <c r="H78" s="3">
        <v>22</v>
      </c>
      <c r="K78" s="8"/>
      <c r="L78" s="6"/>
      <c r="M78" s="6"/>
      <c r="N78" s="6"/>
    </row>
    <row r="79" spans="1:14" x14ac:dyDescent="0.45">
      <c r="A79" t="s">
        <v>161</v>
      </c>
      <c r="B79" s="4">
        <v>45428</v>
      </c>
      <c r="C79" t="s">
        <v>26</v>
      </c>
      <c r="D79" t="s">
        <v>53</v>
      </c>
      <c r="E79" t="s">
        <v>14</v>
      </c>
      <c r="F79" t="str">
        <f>_xlfn.XLOOKUP(C79,Salespeople!$A$2:$A$11,Salespeople!$C$2:$C$11)</f>
        <v>APAC</v>
      </c>
      <c r="G79" t="str">
        <f>_xlfn.XLOOKUP(C79,Salespeople!$A$2:$A$11,Salespeople!$D$2:$D$11)</f>
        <v>Singapore</v>
      </c>
      <c r="H79" s="3">
        <v>4</v>
      </c>
      <c r="K79" s="8"/>
      <c r="L79" s="6"/>
      <c r="M79" s="6"/>
      <c r="N79" s="6"/>
    </row>
    <row r="80" spans="1:14" x14ac:dyDescent="0.45">
      <c r="A80" t="s">
        <v>162</v>
      </c>
      <c r="B80" s="4">
        <v>45311</v>
      </c>
      <c r="C80" t="s">
        <v>60</v>
      </c>
      <c r="D80" t="s">
        <v>88</v>
      </c>
      <c r="E80" t="s">
        <v>23</v>
      </c>
      <c r="F80" t="str">
        <f>_xlfn.XLOOKUP(C80,Salespeople!$A$2:$A$11,Salespeople!$C$2:$C$11)</f>
        <v>APAC</v>
      </c>
      <c r="G80" t="str">
        <f>_xlfn.XLOOKUP(C80,Salespeople!$A$2:$A$11,Salespeople!$D$2:$D$11)</f>
        <v>Japan</v>
      </c>
      <c r="H80" s="3">
        <v>15</v>
      </c>
      <c r="K80" s="8"/>
      <c r="L80" s="6"/>
      <c r="M80" s="6"/>
      <c r="N80" s="6"/>
    </row>
    <row r="81" spans="1:14" x14ac:dyDescent="0.45">
      <c r="A81" t="s">
        <v>163</v>
      </c>
      <c r="B81" s="4">
        <v>45448</v>
      </c>
      <c r="C81" t="s">
        <v>51</v>
      </c>
      <c r="D81" t="s">
        <v>88</v>
      </c>
      <c r="E81" t="s">
        <v>23</v>
      </c>
      <c r="F81" t="str">
        <f>_xlfn.XLOOKUP(C81,Salespeople!$A$2:$A$11,Salespeople!$C$2:$C$11)</f>
        <v>Americas</v>
      </c>
      <c r="G81" t="str">
        <f>_xlfn.XLOOKUP(C81,Salespeople!$A$2:$A$11,Salespeople!$D$2:$D$11)</f>
        <v>Mexico</v>
      </c>
      <c r="H81" s="3">
        <v>22</v>
      </c>
      <c r="K81" s="8"/>
      <c r="L81" s="6"/>
      <c r="M81" s="6"/>
      <c r="N81" s="6"/>
    </row>
    <row r="82" spans="1:14" x14ac:dyDescent="0.45">
      <c r="A82" t="s">
        <v>164</v>
      </c>
      <c r="B82" s="4">
        <v>45496</v>
      </c>
      <c r="C82" t="s">
        <v>83</v>
      </c>
      <c r="D82" t="s">
        <v>79</v>
      </c>
      <c r="E82" t="s">
        <v>23</v>
      </c>
      <c r="F82" t="str">
        <f>_xlfn.XLOOKUP(C82,Salespeople!$A$2:$A$11,Salespeople!$C$2:$C$11)</f>
        <v>EMEA</v>
      </c>
      <c r="G82" t="str">
        <f>_xlfn.XLOOKUP(C82,Salespeople!$A$2:$A$11,Salespeople!$D$2:$D$11)</f>
        <v>United Arab Emirates</v>
      </c>
      <c r="H82" s="3">
        <v>25</v>
      </c>
      <c r="K82" s="8"/>
      <c r="L82" s="6"/>
      <c r="M82" s="6"/>
      <c r="N82" s="6"/>
    </row>
    <row r="83" spans="1:14" x14ac:dyDescent="0.45">
      <c r="A83" t="s">
        <v>165</v>
      </c>
      <c r="B83" s="4">
        <v>45471</v>
      </c>
      <c r="C83" t="s">
        <v>38</v>
      </c>
      <c r="D83" t="s">
        <v>44</v>
      </c>
      <c r="E83" t="s">
        <v>14</v>
      </c>
      <c r="F83" t="str">
        <f>_xlfn.XLOOKUP(C83,Salespeople!$A$2:$A$11,Salespeople!$C$2:$C$11)</f>
        <v>Americas</v>
      </c>
      <c r="G83" t="str">
        <f>_xlfn.XLOOKUP(C83,Salespeople!$A$2:$A$11,Salespeople!$D$2:$D$11)</f>
        <v>Brazil</v>
      </c>
      <c r="H83" s="3">
        <v>18</v>
      </c>
      <c r="K83" s="8"/>
      <c r="L83" s="6"/>
      <c r="M83" s="6"/>
      <c r="N83" s="6"/>
    </row>
    <row r="84" spans="1:14" x14ac:dyDescent="0.45">
      <c r="A84" t="s">
        <v>166</v>
      </c>
      <c r="B84" s="4">
        <v>45306</v>
      </c>
      <c r="C84" t="s">
        <v>17</v>
      </c>
      <c r="D84" t="s">
        <v>91</v>
      </c>
      <c r="E84" t="s">
        <v>48</v>
      </c>
      <c r="F84" t="str">
        <f>_xlfn.XLOOKUP(C84,Salespeople!$A$2:$A$11,Salespeople!$C$2:$C$11)</f>
        <v>EMEA</v>
      </c>
      <c r="G84" t="str">
        <f>_xlfn.XLOOKUP(C84,Salespeople!$A$2:$A$11,Salespeople!$D$2:$D$11)</f>
        <v>Portugal</v>
      </c>
      <c r="H84" s="3">
        <v>6</v>
      </c>
      <c r="K84" s="8"/>
      <c r="L84" s="6"/>
      <c r="M84" s="6"/>
      <c r="N84" s="6"/>
    </row>
    <row r="85" spans="1:14" x14ac:dyDescent="0.45">
      <c r="A85" t="s">
        <v>167</v>
      </c>
      <c r="B85" s="4">
        <v>45311</v>
      </c>
      <c r="C85" t="s">
        <v>17</v>
      </c>
      <c r="D85" t="s">
        <v>40</v>
      </c>
      <c r="E85" t="s">
        <v>48</v>
      </c>
      <c r="F85" t="str">
        <f>_xlfn.XLOOKUP(C85,Salespeople!$A$2:$A$11,Salespeople!$C$2:$C$11)</f>
        <v>EMEA</v>
      </c>
      <c r="G85" t="str">
        <f>_xlfn.XLOOKUP(C85,Salespeople!$A$2:$A$11,Salespeople!$D$2:$D$11)</f>
        <v>Portugal</v>
      </c>
      <c r="H85" s="3">
        <v>12</v>
      </c>
      <c r="K85" s="8"/>
      <c r="L85" s="6"/>
      <c r="M85" s="6"/>
      <c r="N85" s="6"/>
    </row>
    <row r="86" spans="1:14" x14ac:dyDescent="0.45">
      <c r="A86" t="s">
        <v>168</v>
      </c>
      <c r="B86" s="4">
        <v>45515</v>
      </c>
      <c r="C86" t="s">
        <v>139</v>
      </c>
      <c r="D86" t="s">
        <v>62</v>
      </c>
      <c r="E86" t="s">
        <v>23</v>
      </c>
      <c r="F86" t="str">
        <f>_xlfn.XLOOKUP(C86,Salespeople!$A$2:$A$11,Salespeople!$C$2:$C$11)</f>
        <v>Americas</v>
      </c>
      <c r="G86" t="str">
        <f>_xlfn.XLOOKUP(C86,Salespeople!$A$2:$A$11,Salespeople!$D$2:$D$11)</f>
        <v>Canada</v>
      </c>
      <c r="H86" s="3">
        <v>13</v>
      </c>
      <c r="K86" s="8"/>
      <c r="L86" s="6"/>
      <c r="M86" s="6"/>
      <c r="N86" s="6"/>
    </row>
    <row r="87" spans="1:14" x14ac:dyDescent="0.45">
      <c r="A87" t="s">
        <v>169</v>
      </c>
      <c r="B87" s="4">
        <v>45422</v>
      </c>
      <c r="C87" t="s">
        <v>131</v>
      </c>
      <c r="D87" t="s">
        <v>28</v>
      </c>
      <c r="E87" t="s">
        <v>48</v>
      </c>
      <c r="F87" t="str">
        <f>_xlfn.XLOOKUP(C87,Salespeople!$A$2:$A$11,Salespeople!$C$2:$C$11)</f>
        <v>EMEA</v>
      </c>
      <c r="G87" t="str">
        <f>_xlfn.XLOOKUP(C87,Salespeople!$A$2:$A$11,Salespeople!$D$2:$D$11)</f>
        <v>United Kingdom</v>
      </c>
      <c r="H87" s="3">
        <v>1</v>
      </c>
      <c r="K87" s="8"/>
      <c r="L87" s="6"/>
      <c r="M87" s="6"/>
      <c r="N87" s="6"/>
    </row>
    <row r="88" spans="1:14" x14ac:dyDescent="0.45">
      <c r="A88" t="s">
        <v>170</v>
      </c>
      <c r="B88" s="4">
        <v>45478</v>
      </c>
      <c r="C88" t="s">
        <v>33</v>
      </c>
      <c r="D88" t="s">
        <v>134</v>
      </c>
      <c r="E88" t="s">
        <v>14</v>
      </c>
      <c r="F88" t="str">
        <f>_xlfn.XLOOKUP(C88,Salespeople!$A$2:$A$11,Salespeople!$C$2:$C$11)</f>
        <v>EMEA</v>
      </c>
      <c r="G88" t="str">
        <f>_xlfn.XLOOKUP(C88,Salespeople!$A$2:$A$11,Salespeople!$D$2:$D$11)</f>
        <v>Kenya</v>
      </c>
      <c r="H88" s="3">
        <v>11</v>
      </c>
      <c r="K88" s="8"/>
      <c r="L88" s="6"/>
      <c r="M88" s="6"/>
      <c r="N88" s="6"/>
    </row>
    <row r="89" spans="1:14" x14ac:dyDescent="0.45">
      <c r="A89" t="s">
        <v>171</v>
      </c>
      <c r="B89" s="4">
        <v>45631</v>
      </c>
      <c r="C89" t="s">
        <v>17</v>
      </c>
      <c r="D89" t="s">
        <v>28</v>
      </c>
      <c r="E89" t="s">
        <v>48</v>
      </c>
      <c r="F89" t="str">
        <f>_xlfn.XLOOKUP(C89,Salespeople!$A$2:$A$11,Salespeople!$C$2:$C$11)</f>
        <v>EMEA</v>
      </c>
      <c r="G89" t="str">
        <f>_xlfn.XLOOKUP(C89,Salespeople!$A$2:$A$11,Salespeople!$D$2:$D$11)</f>
        <v>Portugal</v>
      </c>
      <c r="H89" s="3">
        <v>17</v>
      </c>
      <c r="K89" s="8"/>
      <c r="L89" s="6"/>
      <c r="M89" s="6"/>
      <c r="N89" s="6"/>
    </row>
    <row r="90" spans="1:14" x14ac:dyDescent="0.45">
      <c r="A90" t="s">
        <v>172</v>
      </c>
      <c r="B90" s="4">
        <v>45633</v>
      </c>
      <c r="C90" t="s">
        <v>33</v>
      </c>
      <c r="D90" t="s">
        <v>56</v>
      </c>
      <c r="E90" t="s">
        <v>48</v>
      </c>
      <c r="F90" t="str">
        <f>_xlfn.XLOOKUP(C90,Salespeople!$A$2:$A$11,Salespeople!$C$2:$C$11)</f>
        <v>EMEA</v>
      </c>
      <c r="G90" t="str">
        <f>_xlfn.XLOOKUP(C90,Salespeople!$A$2:$A$11,Salespeople!$D$2:$D$11)</f>
        <v>Kenya</v>
      </c>
      <c r="H90" s="3">
        <v>23</v>
      </c>
      <c r="K90" s="8"/>
      <c r="L90" s="6"/>
      <c r="M90" s="6"/>
      <c r="N90" s="6"/>
    </row>
    <row r="91" spans="1:14" x14ac:dyDescent="0.45">
      <c r="A91" t="s">
        <v>173</v>
      </c>
      <c r="B91" s="4">
        <v>45575</v>
      </c>
      <c r="C91" t="s">
        <v>26</v>
      </c>
      <c r="D91" t="s">
        <v>88</v>
      </c>
      <c r="E91" t="s">
        <v>48</v>
      </c>
      <c r="F91" t="str">
        <f>_xlfn.XLOOKUP(C91,Salespeople!$A$2:$A$11,Salespeople!$C$2:$C$11)</f>
        <v>APAC</v>
      </c>
      <c r="G91" t="str">
        <f>_xlfn.XLOOKUP(C91,Salespeople!$A$2:$A$11,Salespeople!$D$2:$D$11)</f>
        <v>Singapore</v>
      </c>
      <c r="H91" s="3">
        <v>22</v>
      </c>
      <c r="K91" s="8"/>
      <c r="L91" s="6"/>
      <c r="M91" s="6"/>
      <c r="N91" s="6"/>
    </row>
    <row r="92" spans="1:14" x14ac:dyDescent="0.45">
      <c r="A92" t="s">
        <v>174</v>
      </c>
      <c r="B92" s="4">
        <v>45638</v>
      </c>
      <c r="C92" t="s">
        <v>26</v>
      </c>
      <c r="D92" t="s">
        <v>40</v>
      </c>
      <c r="E92" t="s">
        <v>14</v>
      </c>
      <c r="F92" t="str">
        <f>_xlfn.XLOOKUP(C92,Salespeople!$A$2:$A$11,Salespeople!$C$2:$C$11)</f>
        <v>APAC</v>
      </c>
      <c r="G92" t="str">
        <f>_xlfn.XLOOKUP(C92,Salespeople!$A$2:$A$11,Salespeople!$D$2:$D$11)</f>
        <v>Singapore</v>
      </c>
      <c r="H92" s="3">
        <v>10</v>
      </c>
      <c r="K92" s="8"/>
      <c r="L92" s="6"/>
      <c r="M92" s="6"/>
      <c r="N92" s="6"/>
    </row>
    <row r="93" spans="1:14" x14ac:dyDescent="0.45">
      <c r="A93" t="s">
        <v>175</v>
      </c>
      <c r="B93" s="4">
        <v>45572</v>
      </c>
      <c r="C93" t="s">
        <v>131</v>
      </c>
      <c r="D93" t="s">
        <v>79</v>
      </c>
      <c r="E93" t="s">
        <v>48</v>
      </c>
      <c r="F93" t="str">
        <f>_xlfn.XLOOKUP(C93,Salespeople!$A$2:$A$11,Salespeople!$C$2:$C$11)</f>
        <v>EMEA</v>
      </c>
      <c r="G93" t="str">
        <f>_xlfn.XLOOKUP(C93,Salespeople!$A$2:$A$11,Salespeople!$D$2:$D$11)</f>
        <v>United Kingdom</v>
      </c>
      <c r="H93" s="3">
        <v>7</v>
      </c>
      <c r="K93" s="8"/>
      <c r="L93" s="6"/>
      <c r="M93" s="6"/>
      <c r="N93" s="6"/>
    </row>
    <row r="94" spans="1:14" x14ac:dyDescent="0.45">
      <c r="A94" t="s">
        <v>176</v>
      </c>
      <c r="B94" s="4">
        <v>45588</v>
      </c>
      <c r="C94" t="s">
        <v>139</v>
      </c>
      <c r="D94" t="s">
        <v>74</v>
      </c>
      <c r="E94" t="s">
        <v>48</v>
      </c>
      <c r="F94" t="str">
        <f>_xlfn.XLOOKUP(C94,Salespeople!$A$2:$A$11,Salespeople!$C$2:$C$11)</f>
        <v>Americas</v>
      </c>
      <c r="G94" t="str">
        <f>_xlfn.XLOOKUP(C94,Salespeople!$A$2:$A$11,Salespeople!$D$2:$D$11)</f>
        <v>Canada</v>
      </c>
      <c r="H94" s="3">
        <v>15</v>
      </c>
      <c r="K94" s="8"/>
      <c r="L94" s="6"/>
      <c r="M94" s="6"/>
      <c r="N94" s="6"/>
    </row>
    <row r="95" spans="1:14" x14ac:dyDescent="0.45">
      <c r="A95" t="s">
        <v>177</v>
      </c>
      <c r="B95" s="4">
        <v>45518</v>
      </c>
      <c r="C95" t="s">
        <v>51</v>
      </c>
      <c r="D95" t="s">
        <v>62</v>
      </c>
      <c r="E95" t="s">
        <v>48</v>
      </c>
      <c r="F95" t="str">
        <f>_xlfn.XLOOKUP(C95,Salespeople!$A$2:$A$11,Salespeople!$C$2:$C$11)</f>
        <v>Americas</v>
      </c>
      <c r="G95" t="str">
        <f>_xlfn.XLOOKUP(C95,Salespeople!$A$2:$A$11,Salespeople!$D$2:$D$11)</f>
        <v>Mexico</v>
      </c>
      <c r="H95" s="3">
        <v>24</v>
      </c>
      <c r="K95" s="8"/>
      <c r="L95" s="6"/>
      <c r="M95" s="6"/>
      <c r="N95" s="6"/>
    </row>
    <row r="96" spans="1:14" x14ac:dyDescent="0.45">
      <c r="A96" t="s">
        <v>178</v>
      </c>
      <c r="B96" s="4">
        <v>45629</v>
      </c>
      <c r="C96" t="s">
        <v>17</v>
      </c>
      <c r="D96" t="s">
        <v>79</v>
      </c>
      <c r="E96" t="s">
        <v>14</v>
      </c>
      <c r="F96" t="str">
        <f>_xlfn.XLOOKUP(C96,Salespeople!$A$2:$A$11,Salespeople!$C$2:$C$11)</f>
        <v>EMEA</v>
      </c>
      <c r="G96" t="str">
        <f>_xlfn.XLOOKUP(C96,Salespeople!$A$2:$A$11,Salespeople!$D$2:$D$11)</f>
        <v>Portugal</v>
      </c>
      <c r="H96" s="3">
        <v>22</v>
      </c>
      <c r="K96" s="8"/>
      <c r="L96" s="6"/>
      <c r="M96" s="6"/>
      <c r="N96" s="6"/>
    </row>
    <row r="97" spans="1:14" x14ac:dyDescent="0.45">
      <c r="A97" t="s">
        <v>179</v>
      </c>
      <c r="B97" s="4">
        <v>45339</v>
      </c>
      <c r="C97" t="s">
        <v>51</v>
      </c>
      <c r="D97" t="s">
        <v>74</v>
      </c>
      <c r="E97" t="s">
        <v>48</v>
      </c>
      <c r="F97" t="str">
        <f>_xlfn.XLOOKUP(C97,Salespeople!$A$2:$A$11,Salespeople!$C$2:$C$11)</f>
        <v>Americas</v>
      </c>
      <c r="G97" t="str">
        <f>_xlfn.XLOOKUP(C97,Salespeople!$A$2:$A$11,Salespeople!$D$2:$D$11)</f>
        <v>Mexico</v>
      </c>
      <c r="H97" s="3">
        <v>8</v>
      </c>
      <c r="K97" s="8"/>
      <c r="L97" s="6"/>
      <c r="M97" s="6"/>
      <c r="N97" s="6"/>
    </row>
    <row r="98" spans="1:14" x14ac:dyDescent="0.45">
      <c r="A98" t="s">
        <v>180</v>
      </c>
      <c r="B98" s="4">
        <v>45367</v>
      </c>
      <c r="C98" t="s">
        <v>131</v>
      </c>
      <c r="D98" t="s">
        <v>19</v>
      </c>
      <c r="E98" t="s">
        <v>23</v>
      </c>
      <c r="F98" t="str">
        <f>_xlfn.XLOOKUP(C98,Salespeople!$A$2:$A$11,Salespeople!$C$2:$C$11)</f>
        <v>EMEA</v>
      </c>
      <c r="G98" t="str">
        <f>_xlfn.XLOOKUP(C98,Salespeople!$A$2:$A$11,Salespeople!$D$2:$D$11)</f>
        <v>United Kingdom</v>
      </c>
      <c r="H98" s="3">
        <v>16</v>
      </c>
      <c r="K98" s="8"/>
      <c r="L98" s="6"/>
      <c r="M98" s="6"/>
      <c r="N98" s="6"/>
    </row>
    <row r="99" spans="1:14" x14ac:dyDescent="0.45">
      <c r="A99" t="s">
        <v>181</v>
      </c>
      <c r="B99" s="4">
        <v>45525</v>
      </c>
      <c r="C99" t="s">
        <v>33</v>
      </c>
      <c r="D99" t="s">
        <v>91</v>
      </c>
      <c r="E99" t="s">
        <v>14</v>
      </c>
      <c r="F99" t="str">
        <f>_xlfn.XLOOKUP(C99,Salespeople!$A$2:$A$11,Salespeople!$C$2:$C$11)</f>
        <v>EMEA</v>
      </c>
      <c r="G99" t="str">
        <f>_xlfn.XLOOKUP(C99,Salespeople!$A$2:$A$11,Salespeople!$D$2:$D$11)</f>
        <v>Kenya</v>
      </c>
      <c r="H99" s="3">
        <v>19</v>
      </c>
      <c r="K99" s="8"/>
      <c r="L99" s="6"/>
      <c r="M99" s="6"/>
      <c r="N99" s="6"/>
    </row>
    <row r="100" spans="1:14" x14ac:dyDescent="0.45">
      <c r="A100" t="s">
        <v>182</v>
      </c>
      <c r="B100" s="4">
        <v>45648</v>
      </c>
      <c r="C100" t="s">
        <v>33</v>
      </c>
      <c r="D100" t="s">
        <v>103</v>
      </c>
      <c r="E100" t="s">
        <v>48</v>
      </c>
      <c r="F100" t="str">
        <f>_xlfn.XLOOKUP(C100,Salespeople!$A$2:$A$11,Salespeople!$C$2:$C$11)</f>
        <v>EMEA</v>
      </c>
      <c r="G100" t="str">
        <f>_xlfn.XLOOKUP(C100,Salespeople!$A$2:$A$11,Salespeople!$D$2:$D$11)</f>
        <v>Kenya</v>
      </c>
      <c r="H100" s="3">
        <v>8</v>
      </c>
      <c r="K100" s="8"/>
      <c r="L100" s="6"/>
      <c r="M100" s="6"/>
      <c r="N100" s="6"/>
    </row>
    <row r="101" spans="1:14" x14ac:dyDescent="0.45">
      <c r="A101" t="s">
        <v>183</v>
      </c>
      <c r="B101" s="4">
        <v>45627</v>
      </c>
      <c r="C101" t="s">
        <v>131</v>
      </c>
      <c r="D101" t="s">
        <v>91</v>
      </c>
      <c r="E101" t="s">
        <v>23</v>
      </c>
      <c r="F101" t="str">
        <f>_xlfn.XLOOKUP(C101,Salespeople!$A$2:$A$11,Salespeople!$C$2:$C$11)</f>
        <v>EMEA</v>
      </c>
      <c r="G101" t="str">
        <f>_xlfn.XLOOKUP(C101,Salespeople!$A$2:$A$11,Salespeople!$D$2:$D$11)</f>
        <v>United Kingdom</v>
      </c>
      <c r="H101" s="3">
        <v>25</v>
      </c>
      <c r="K101" s="8"/>
      <c r="L101" s="6"/>
      <c r="M101" s="6"/>
      <c r="N101" s="6"/>
    </row>
    <row r="102" spans="1:14" x14ac:dyDescent="0.45">
      <c r="A102" t="s">
        <v>184</v>
      </c>
      <c r="B102" s="4">
        <v>45404</v>
      </c>
      <c r="C102" t="s">
        <v>26</v>
      </c>
      <c r="D102" t="s">
        <v>53</v>
      </c>
      <c r="E102" t="s">
        <v>14</v>
      </c>
      <c r="F102" t="str">
        <f>_xlfn.XLOOKUP(C102,Salespeople!$A$2:$A$11,Salespeople!$C$2:$C$11)</f>
        <v>APAC</v>
      </c>
      <c r="G102" t="str">
        <f>_xlfn.XLOOKUP(C102,Salespeople!$A$2:$A$11,Salespeople!$D$2:$D$11)</f>
        <v>Singapore</v>
      </c>
      <c r="H102" s="3">
        <v>17</v>
      </c>
      <c r="K102" s="8"/>
      <c r="L102" s="6"/>
      <c r="M102" s="6"/>
      <c r="N102" s="6"/>
    </row>
    <row r="103" spans="1:14" x14ac:dyDescent="0.45">
      <c r="A103" t="s">
        <v>185</v>
      </c>
      <c r="B103" s="4">
        <v>45317</v>
      </c>
      <c r="C103" t="s">
        <v>38</v>
      </c>
      <c r="D103" t="s">
        <v>88</v>
      </c>
      <c r="E103" t="s">
        <v>23</v>
      </c>
      <c r="F103" t="str">
        <f>_xlfn.XLOOKUP(C103,Salespeople!$A$2:$A$11,Salespeople!$C$2:$C$11)</f>
        <v>Americas</v>
      </c>
      <c r="G103" t="str">
        <f>_xlfn.XLOOKUP(C103,Salespeople!$A$2:$A$11,Salespeople!$D$2:$D$11)</f>
        <v>Brazil</v>
      </c>
      <c r="H103" s="3">
        <v>15</v>
      </c>
      <c r="K103" s="8"/>
      <c r="L103" s="6"/>
      <c r="M103" s="6"/>
      <c r="N103" s="6"/>
    </row>
    <row r="104" spans="1:14" x14ac:dyDescent="0.45">
      <c r="A104" t="s">
        <v>186</v>
      </c>
      <c r="B104" s="4">
        <v>45529</v>
      </c>
      <c r="C104" t="s">
        <v>38</v>
      </c>
      <c r="D104" t="s">
        <v>62</v>
      </c>
      <c r="E104" t="s">
        <v>14</v>
      </c>
      <c r="F104" t="str">
        <f>_xlfn.XLOOKUP(C104,Salespeople!$A$2:$A$11,Salespeople!$C$2:$C$11)</f>
        <v>Americas</v>
      </c>
      <c r="G104" t="str">
        <f>_xlfn.XLOOKUP(C104,Salespeople!$A$2:$A$11,Salespeople!$D$2:$D$11)</f>
        <v>Brazil</v>
      </c>
      <c r="H104" s="3">
        <v>11</v>
      </c>
      <c r="K104" s="8"/>
      <c r="L104" s="6"/>
      <c r="M104" s="6"/>
      <c r="N104" s="6"/>
    </row>
    <row r="105" spans="1:14" x14ac:dyDescent="0.45">
      <c r="A105" t="s">
        <v>187</v>
      </c>
      <c r="B105" s="4">
        <v>45605</v>
      </c>
      <c r="C105" t="s">
        <v>38</v>
      </c>
      <c r="D105" t="s">
        <v>44</v>
      </c>
      <c r="E105" t="s">
        <v>14</v>
      </c>
      <c r="F105" t="str">
        <f>_xlfn.XLOOKUP(C105,Salespeople!$A$2:$A$11,Salespeople!$C$2:$C$11)</f>
        <v>Americas</v>
      </c>
      <c r="G105" t="str">
        <f>_xlfn.XLOOKUP(C105,Salespeople!$A$2:$A$11,Salespeople!$D$2:$D$11)</f>
        <v>Brazil</v>
      </c>
      <c r="H105" s="3">
        <v>15</v>
      </c>
      <c r="K105" s="8"/>
      <c r="L105" s="6"/>
      <c r="M105" s="6"/>
      <c r="N105" s="6"/>
    </row>
    <row r="106" spans="1:14" x14ac:dyDescent="0.45">
      <c r="A106" t="s">
        <v>188</v>
      </c>
      <c r="B106" s="4">
        <v>45535</v>
      </c>
      <c r="C106" t="s">
        <v>60</v>
      </c>
      <c r="D106" t="s">
        <v>79</v>
      </c>
      <c r="E106" t="s">
        <v>23</v>
      </c>
      <c r="F106" t="str">
        <f>_xlfn.XLOOKUP(C106,Salespeople!$A$2:$A$11,Salespeople!$C$2:$C$11)</f>
        <v>APAC</v>
      </c>
      <c r="G106" t="str">
        <f>_xlfn.XLOOKUP(C106,Salespeople!$A$2:$A$11,Salespeople!$D$2:$D$11)</f>
        <v>Japan</v>
      </c>
      <c r="H106" s="3">
        <v>21</v>
      </c>
      <c r="K106" s="8"/>
      <c r="L106" s="6"/>
      <c r="M106" s="6"/>
      <c r="N106" s="6"/>
    </row>
    <row r="107" spans="1:14" x14ac:dyDescent="0.45">
      <c r="A107" t="s">
        <v>189</v>
      </c>
      <c r="B107" s="4">
        <v>45558</v>
      </c>
      <c r="C107" t="s">
        <v>60</v>
      </c>
      <c r="D107" t="s">
        <v>74</v>
      </c>
      <c r="E107" t="s">
        <v>23</v>
      </c>
      <c r="F107" t="str">
        <f>_xlfn.XLOOKUP(C107,Salespeople!$A$2:$A$11,Salespeople!$C$2:$C$11)</f>
        <v>APAC</v>
      </c>
      <c r="G107" t="str">
        <f>_xlfn.XLOOKUP(C107,Salespeople!$A$2:$A$11,Salespeople!$D$2:$D$11)</f>
        <v>Japan</v>
      </c>
      <c r="H107" s="3">
        <v>9</v>
      </c>
      <c r="K107" s="8"/>
      <c r="L107" s="6"/>
      <c r="M107" s="6"/>
      <c r="N107" s="6"/>
    </row>
    <row r="108" spans="1:14" x14ac:dyDescent="0.45">
      <c r="A108" t="s">
        <v>190</v>
      </c>
      <c r="B108" s="4">
        <v>45331</v>
      </c>
      <c r="C108" t="s">
        <v>66</v>
      </c>
      <c r="D108" t="s">
        <v>88</v>
      </c>
      <c r="E108" t="s">
        <v>48</v>
      </c>
      <c r="F108" t="str">
        <f>_xlfn.XLOOKUP(C108,Salespeople!$A$2:$A$11,Salespeople!$C$2:$C$11)</f>
        <v>Americas</v>
      </c>
      <c r="G108" t="str">
        <f>_xlfn.XLOOKUP(C108,Salespeople!$A$2:$A$11,Salespeople!$D$2:$D$11)</f>
        <v>United States</v>
      </c>
      <c r="H108" s="3">
        <v>11</v>
      </c>
      <c r="K108" s="8"/>
      <c r="L108" s="6"/>
      <c r="M108" s="6"/>
      <c r="N108" s="6"/>
    </row>
    <row r="109" spans="1:14" x14ac:dyDescent="0.45">
      <c r="A109" t="s">
        <v>191</v>
      </c>
      <c r="B109" s="4">
        <v>45568</v>
      </c>
      <c r="C109" t="s">
        <v>17</v>
      </c>
      <c r="D109" t="s">
        <v>121</v>
      </c>
      <c r="E109" t="s">
        <v>23</v>
      </c>
      <c r="F109" t="str">
        <f>_xlfn.XLOOKUP(C109,Salespeople!$A$2:$A$11,Salespeople!$C$2:$C$11)</f>
        <v>EMEA</v>
      </c>
      <c r="G109" t="str">
        <f>_xlfn.XLOOKUP(C109,Salespeople!$A$2:$A$11,Salespeople!$D$2:$D$11)</f>
        <v>Portugal</v>
      </c>
      <c r="H109" s="3">
        <v>8</v>
      </c>
      <c r="K109" s="8"/>
      <c r="L109" s="6"/>
      <c r="M109" s="6"/>
      <c r="N109" s="6"/>
    </row>
    <row r="110" spans="1:14" x14ac:dyDescent="0.45">
      <c r="A110" t="s">
        <v>192</v>
      </c>
      <c r="B110" s="4">
        <v>45647</v>
      </c>
      <c r="C110" t="s">
        <v>26</v>
      </c>
      <c r="D110" t="s">
        <v>28</v>
      </c>
      <c r="E110" t="s">
        <v>23</v>
      </c>
      <c r="F110" t="str">
        <f>_xlfn.XLOOKUP(C110,Salespeople!$A$2:$A$11,Salespeople!$C$2:$C$11)</f>
        <v>APAC</v>
      </c>
      <c r="G110" t="str">
        <f>_xlfn.XLOOKUP(C110,Salespeople!$A$2:$A$11,Salespeople!$D$2:$D$11)</f>
        <v>Singapore</v>
      </c>
      <c r="H110" s="3">
        <v>3</v>
      </c>
      <c r="K110" s="8"/>
      <c r="L110" s="6"/>
      <c r="M110" s="6"/>
      <c r="N110" s="6"/>
    </row>
    <row r="111" spans="1:14" x14ac:dyDescent="0.45">
      <c r="A111" t="s">
        <v>193</v>
      </c>
      <c r="B111" s="4">
        <v>45500</v>
      </c>
      <c r="C111" t="s">
        <v>83</v>
      </c>
      <c r="D111" t="s">
        <v>62</v>
      </c>
      <c r="E111" t="s">
        <v>48</v>
      </c>
      <c r="F111" t="str">
        <f>_xlfn.XLOOKUP(C111,Salespeople!$A$2:$A$11,Salespeople!$C$2:$C$11)</f>
        <v>EMEA</v>
      </c>
      <c r="G111" t="str">
        <f>_xlfn.XLOOKUP(C111,Salespeople!$A$2:$A$11,Salespeople!$D$2:$D$11)</f>
        <v>United Arab Emirates</v>
      </c>
      <c r="H111" s="3">
        <v>14</v>
      </c>
      <c r="K111" s="8"/>
      <c r="L111" s="6"/>
      <c r="M111" s="6"/>
      <c r="N111" s="6"/>
    </row>
    <row r="112" spans="1:14" x14ac:dyDescent="0.45">
      <c r="A112" t="s">
        <v>194</v>
      </c>
      <c r="B112" s="4">
        <v>45397</v>
      </c>
      <c r="C112" t="s">
        <v>33</v>
      </c>
      <c r="D112" t="s">
        <v>44</v>
      </c>
      <c r="E112" t="s">
        <v>14</v>
      </c>
      <c r="F112" t="str">
        <f>_xlfn.XLOOKUP(C112,Salespeople!$A$2:$A$11,Salespeople!$C$2:$C$11)</f>
        <v>EMEA</v>
      </c>
      <c r="G112" t="str">
        <f>_xlfn.XLOOKUP(C112,Salespeople!$A$2:$A$11,Salespeople!$D$2:$D$11)</f>
        <v>Kenya</v>
      </c>
      <c r="H112" s="3">
        <v>23</v>
      </c>
      <c r="K112" s="8"/>
      <c r="L112" s="6"/>
      <c r="M112" s="6"/>
      <c r="N112" s="6"/>
    </row>
    <row r="113" spans="1:14" x14ac:dyDescent="0.45">
      <c r="A113" t="s">
        <v>195</v>
      </c>
      <c r="B113" s="4">
        <v>45586</v>
      </c>
      <c r="C113" t="s">
        <v>33</v>
      </c>
      <c r="D113" t="s">
        <v>103</v>
      </c>
      <c r="E113" t="s">
        <v>23</v>
      </c>
      <c r="F113" t="str">
        <f>_xlfn.XLOOKUP(C113,Salespeople!$A$2:$A$11,Salespeople!$C$2:$C$11)</f>
        <v>EMEA</v>
      </c>
      <c r="G113" t="str">
        <f>_xlfn.XLOOKUP(C113,Salespeople!$A$2:$A$11,Salespeople!$D$2:$D$11)</f>
        <v>Kenya</v>
      </c>
      <c r="H113" s="3">
        <v>12</v>
      </c>
      <c r="K113" s="8"/>
      <c r="L113" s="6"/>
      <c r="M113" s="6"/>
      <c r="N113" s="6"/>
    </row>
    <row r="114" spans="1:14" x14ac:dyDescent="0.45">
      <c r="A114" t="s">
        <v>196</v>
      </c>
      <c r="B114" s="4">
        <v>45491</v>
      </c>
      <c r="C114" t="s">
        <v>33</v>
      </c>
      <c r="D114" t="s">
        <v>62</v>
      </c>
      <c r="E114" t="s">
        <v>14</v>
      </c>
      <c r="F114" t="str">
        <f>_xlfn.XLOOKUP(C114,Salespeople!$A$2:$A$11,Salespeople!$C$2:$C$11)</f>
        <v>EMEA</v>
      </c>
      <c r="G114" t="str">
        <f>_xlfn.XLOOKUP(C114,Salespeople!$A$2:$A$11,Salespeople!$D$2:$D$11)</f>
        <v>Kenya</v>
      </c>
      <c r="H114" s="3">
        <v>24</v>
      </c>
      <c r="K114" s="8"/>
      <c r="L114" s="6"/>
      <c r="M114" s="6"/>
      <c r="N114" s="6"/>
    </row>
    <row r="115" spans="1:14" x14ac:dyDescent="0.45">
      <c r="A115" t="s">
        <v>197</v>
      </c>
      <c r="B115" s="4">
        <v>45541</v>
      </c>
      <c r="C115" t="s">
        <v>51</v>
      </c>
      <c r="D115" t="s">
        <v>79</v>
      </c>
      <c r="E115" t="s">
        <v>48</v>
      </c>
      <c r="F115" t="str">
        <f>_xlfn.XLOOKUP(C115,Salespeople!$A$2:$A$11,Salespeople!$C$2:$C$11)</f>
        <v>Americas</v>
      </c>
      <c r="G115" t="str">
        <f>_xlfn.XLOOKUP(C115,Salespeople!$A$2:$A$11,Salespeople!$D$2:$D$11)</f>
        <v>Mexico</v>
      </c>
      <c r="H115" s="3">
        <v>16</v>
      </c>
      <c r="K115" s="8"/>
      <c r="L115" s="6"/>
      <c r="M115" s="6"/>
      <c r="N115" s="6"/>
    </row>
    <row r="116" spans="1:14" x14ac:dyDescent="0.45">
      <c r="A116" t="s">
        <v>198</v>
      </c>
      <c r="B116" s="4">
        <v>45491</v>
      </c>
      <c r="C116" t="s">
        <v>83</v>
      </c>
      <c r="D116" t="s">
        <v>74</v>
      </c>
      <c r="E116" t="s">
        <v>14</v>
      </c>
      <c r="F116" t="str">
        <f>_xlfn.XLOOKUP(C116,Salespeople!$A$2:$A$11,Salespeople!$C$2:$C$11)</f>
        <v>EMEA</v>
      </c>
      <c r="G116" t="str">
        <f>_xlfn.XLOOKUP(C116,Salespeople!$A$2:$A$11,Salespeople!$D$2:$D$11)</f>
        <v>United Arab Emirates</v>
      </c>
      <c r="H116" s="3">
        <v>13</v>
      </c>
      <c r="K116" s="8"/>
      <c r="L116" s="6"/>
      <c r="M116" s="6"/>
      <c r="N116" s="6"/>
    </row>
    <row r="117" spans="1:14" x14ac:dyDescent="0.45">
      <c r="A117" t="s">
        <v>199</v>
      </c>
      <c r="B117" s="4">
        <v>45531</v>
      </c>
      <c r="C117" t="s">
        <v>26</v>
      </c>
      <c r="D117" t="s">
        <v>40</v>
      </c>
      <c r="E117" t="s">
        <v>14</v>
      </c>
      <c r="F117" t="str">
        <f>_xlfn.XLOOKUP(C117,Salespeople!$A$2:$A$11,Salespeople!$C$2:$C$11)</f>
        <v>APAC</v>
      </c>
      <c r="G117" t="str">
        <f>_xlfn.XLOOKUP(C117,Salespeople!$A$2:$A$11,Salespeople!$D$2:$D$11)</f>
        <v>Singapore</v>
      </c>
      <c r="H117" s="3">
        <v>1</v>
      </c>
      <c r="K117" s="8"/>
      <c r="L117" s="6"/>
      <c r="M117" s="6"/>
      <c r="N117" s="6"/>
    </row>
    <row r="118" spans="1:14" x14ac:dyDescent="0.45">
      <c r="A118" t="s">
        <v>200</v>
      </c>
      <c r="B118" s="4">
        <v>45595</v>
      </c>
      <c r="C118" t="s">
        <v>139</v>
      </c>
      <c r="D118" t="s">
        <v>74</v>
      </c>
      <c r="E118" t="s">
        <v>23</v>
      </c>
      <c r="F118" t="str">
        <f>_xlfn.XLOOKUP(C118,Salespeople!$A$2:$A$11,Salespeople!$C$2:$C$11)</f>
        <v>Americas</v>
      </c>
      <c r="G118" t="str">
        <f>_xlfn.XLOOKUP(C118,Salespeople!$A$2:$A$11,Salespeople!$D$2:$D$11)</f>
        <v>Canada</v>
      </c>
      <c r="H118" s="3">
        <v>3</v>
      </c>
      <c r="K118" s="8"/>
      <c r="L118" s="6"/>
      <c r="M118" s="6"/>
      <c r="N118" s="6"/>
    </row>
    <row r="119" spans="1:14" x14ac:dyDescent="0.45">
      <c r="A119" t="s">
        <v>201</v>
      </c>
      <c r="B119" s="4">
        <v>45361</v>
      </c>
      <c r="C119" t="s">
        <v>60</v>
      </c>
      <c r="D119" t="s">
        <v>121</v>
      </c>
      <c r="E119" t="s">
        <v>23</v>
      </c>
      <c r="F119" t="str">
        <f>_xlfn.XLOOKUP(C119,Salespeople!$A$2:$A$11,Salespeople!$C$2:$C$11)</f>
        <v>APAC</v>
      </c>
      <c r="G119" t="str">
        <f>_xlfn.XLOOKUP(C119,Salespeople!$A$2:$A$11,Salespeople!$D$2:$D$11)</f>
        <v>Japan</v>
      </c>
      <c r="H119" s="3">
        <v>9</v>
      </c>
      <c r="K119" s="8"/>
      <c r="L119" s="6"/>
      <c r="M119" s="6"/>
      <c r="N119" s="6"/>
    </row>
    <row r="120" spans="1:14" x14ac:dyDescent="0.45">
      <c r="A120" t="s">
        <v>202</v>
      </c>
      <c r="B120" s="4">
        <v>45459</v>
      </c>
      <c r="C120" t="s">
        <v>51</v>
      </c>
      <c r="D120" t="s">
        <v>103</v>
      </c>
      <c r="E120" t="s">
        <v>48</v>
      </c>
      <c r="F120" t="str">
        <f>_xlfn.XLOOKUP(C120,Salespeople!$A$2:$A$11,Salespeople!$C$2:$C$11)</f>
        <v>Americas</v>
      </c>
      <c r="G120" t="str">
        <f>_xlfn.XLOOKUP(C120,Salespeople!$A$2:$A$11,Salespeople!$D$2:$D$11)</f>
        <v>Mexico</v>
      </c>
      <c r="H120" s="3">
        <v>11</v>
      </c>
      <c r="K120" s="8"/>
      <c r="L120" s="6"/>
      <c r="M120" s="6"/>
      <c r="N120" s="6"/>
    </row>
    <row r="121" spans="1:14" x14ac:dyDescent="0.45">
      <c r="A121" t="s">
        <v>203</v>
      </c>
      <c r="B121" s="4">
        <v>45434</v>
      </c>
      <c r="C121" t="s">
        <v>33</v>
      </c>
      <c r="D121" t="s">
        <v>79</v>
      </c>
      <c r="E121" t="s">
        <v>23</v>
      </c>
      <c r="F121" t="str">
        <f>_xlfn.XLOOKUP(C121,Salespeople!$A$2:$A$11,Salespeople!$C$2:$C$11)</f>
        <v>EMEA</v>
      </c>
      <c r="G121" t="str">
        <f>_xlfn.XLOOKUP(C121,Salespeople!$A$2:$A$11,Salespeople!$D$2:$D$11)</f>
        <v>Kenya</v>
      </c>
      <c r="H121" s="3">
        <v>16</v>
      </c>
      <c r="K121" s="8"/>
      <c r="L121" s="6"/>
      <c r="M121" s="6"/>
      <c r="N121" s="6"/>
    </row>
    <row r="122" spans="1:14" x14ac:dyDescent="0.45">
      <c r="A122" t="s">
        <v>204</v>
      </c>
      <c r="B122" s="4">
        <v>45568</v>
      </c>
      <c r="C122" t="s">
        <v>131</v>
      </c>
      <c r="D122" t="s">
        <v>56</v>
      </c>
      <c r="E122" t="s">
        <v>23</v>
      </c>
      <c r="F122" t="str">
        <f>_xlfn.XLOOKUP(C122,Salespeople!$A$2:$A$11,Salespeople!$C$2:$C$11)</f>
        <v>EMEA</v>
      </c>
      <c r="G122" t="str">
        <f>_xlfn.XLOOKUP(C122,Salespeople!$A$2:$A$11,Salespeople!$D$2:$D$11)</f>
        <v>United Kingdom</v>
      </c>
      <c r="H122" s="3">
        <v>21</v>
      </c>
      <c r="K122" s="8"/>
      <c r="L122" s="6"/>
      <c r="M122" s="6"/>
      <c r="N122" s="6"/>
    </row>
    <row r="123" spans="1:14" x14ac:dyDescent="0.45">
      <c r="A123" t="s">
        <v>205</v>
      </c>
      <c r="B123" s="4">
        <v>45625</v>
      </c>
      <c r="C123" t="s">
        <v>131</v>
      </c>
      <c r="D123" t="s">
        <v>53</v>
      </c>
      <c r="E123" t="s">
        <v>23</v>
      </c>
      <c r="F123" t="str">
        <f>_xlfn.XLOOKUP(C123,Salespeople!$A$2:$A$11,Salespeople!$C$2:$C$11)</f>
        <v>EMEA</v>
      </c>
      <c r="G123" t="str">
        <f>_xlfn.XLOOKUP(C123,Salespeople!$A$2:$A$11,Salespeople!$D$2:$D$11)</f>
        <v>United Kingdom</v>
      </c>
      <c r="H123" s="3">
        <v>8</v>
      </c>
      <c r="K123" s="8"/>
      <c r="L123" s="6"/>
      <c r="M123" s="6"/>
      <c r="N123" s="6"/>
    </row>
    <row r="124" spans="1:14" x14ac:dyDescent="0.45">
      <c r="A124" t="s">
        <v>206</v>
      </c>
      <c r="B124" s="4">
        <v>45302</v>
      </c>
      <c r="C124" t="s">
        <v>139</v>
      </c>
      <c r="D124" t="s">
        <v>121</v>
      </c>
      <c r="E124" t="s">
        <v>23</v>
      </c>
      <c r="F124" t="str">
        <f>_xlfn.XLOOKUP(C124,Salespeople!$A$2:$A$11,Salespeople!$C$2:$C$11)</f>
        <v>Americas</v>
      </c>
      <c r="G124" t="str">
        <f>_xlfn.XLOOKUP(C124,Salespeople!$A$2:$A$11,Salespeople!$D$2:$D$11)</f>
        <v>Canada</v>
      </c>
      <c r="H124" s="3">
        <v>5</v>
      </c>
      <c r="K124" s="8"/>
      <c r="L124" s="6"/>
      <c r="M124" s="6"/>
      <c r="N124" s="6"/>
    </row>
    <row r="125" spans="1:14" x14ac:dyDescent="0.45">
      <c r="A125" t="s">
        <v>207</v>
      </c>
      <c r="B125" s="4">
        <v>45634</v>
      </c>
      <c r="C125" t="s">
        <v>17</v>
      </c>
      <c r="D125" t="s">
        <v>40</v>
      </c>
      <c r="E125" t="s">
        <v>23</v>
      </c>
      <c r="F125" t="str">
        <f>_xlfn.XLOOKUP(C125,Salespeople!$A$2:$A$11,Salespeople!$C$2:$C$11)</f>
        <v>EMEA</v>
      </c>
      <c r="G125" t="str">
        <f>_xlfn.XLOOKUP(C125,Salespeople!$A$2:$A$11,Salespeople!$D$2:$D$11)</f>
        <v>Portugal</v>
      </c>
      <c r="H125" s="3">
        <v>15</v>
      </c>
      <c r="K125" s="8"/>
      <c r="L125" s="6"/>
      <c r="M125" s="6"/>
      <c r="N125" s="6"/>
    </row>
    <row r="126" spans="1:14" x14ac:dyDescent="0.45">
      <c r="A126" t="s">
        <v>208</v>
      </c>
      <c r="B126" s="4">
        <v>45480</v>
      </c>
      <c r="C126" t="s">
        <v>26</v>
      </c>
      <c r="D126" t="s">
        <v>40</v>
      </c>
      <c r="E126" t="s">
        <v>14</v>
      </c>
      <c r="F126" t="str">
        <f>_xlfn.XLOOKUP(C126,Salespeople!$A$2:$A$11,Salespeople!$C$2:$C$11)</f>
        <v>APAC</v>
      </c>
      <c r="G126" t="str">
        <f>_xlfn.XLOOKUP(C126,Salespeople!$A$2:$A$11,Salespeople!$D$2:$D$11)</f>
        <v>Singapore</v>
      </c>
      <c r="H126" s="3">
        <v>24</v>
      </c>
      <c r="K126" s="8"/>
      <c r="L126" s="6"/>
      <c r="M126" s="6"/>
      <c r="N126" s="6"/>
    </row>
    <row r="127" spans="1:14" x14ac:dyDescent="0.45">
      <c r="A127" t="s">
        <v>209</v>
      </c>
      <c r="B127" s="4">
        <v>45375</v>
      </c>
      <c r="C127" t="s">
        <v>66</v>
      </c>
      <c r="D127" t="s">
        <v>134</v>
      </c>
      <c r="E127" t="s">
        <v>14</v>
      </c>
      <c r="F127" t="str">
        <f>_xlfn.XLOOKUP(C127,Salespeople!$A$2:$A$11,Salespeople!$C$2:$C$11)</f>
        <v>Americas</v>
      </c>
      <c r="G127" t="str">
        <f>_xlfn.XLOOKUP(C127,Salespeople!$A$2:$A$11,Salespeople!$D$2:$D$11)</f>
        <v>United States</v>
      </c>
      <c r="H127" s="3">
        <v>1</v>
      </c>
      <c r="K127" s="8"/>
      <c r="L127" s="6"/>
      <c r="M127" s="6"/>
      <c r="N127" s="6"/>
    </row>
    <row r="128" spans="1:14" x14ac:dyDescent="0.45">
      <c r="A128" t="s">
        <v>210</v>
      </c>
      <c r="B128" s="4">
        <v>45586</v>
      </c>
      <c r="C128" t="s">
        <v>33</v>
      </c>
      <c r="D128" t="s">
        <v>44</v>
      </c>
      <c r="E128" t="s">
        <v>14</v>
      </c>
      <c r="F128" t="str">
        <f>_xlfn.XLOOKUP(C128,Salespeople!$A$2:$A$11,Salespeople!$C$2:$C$11)</f>
        <v>EMEA</v>
      </c>
      <c r="G128" t="str">
        <f>_xlfn.XLOOKUP(C128,Salespeople!$A$2:$A$11,Salespeople!$D$2:$D$11)</f>
        <v>Kenya</v>
      </c>
      <c r="H128" s="3">
        <v>7</v>
      </c>
      <c r="K128" s="8"/>
      <c r="L128" s="6"/>
      <c r="M128" s="6"/>
      <c r="N128" s="6"/>
    </row>
    <row r="129" spans="1:14" x14ac:dyDescent="0.45">
      <c r="A129" t="s">
        <v>211</v>
      </c>
      <c r="B129" s="4">
        <v>45595</v>
      </c>
      <c r="C129" t="s">
        <v>51</v>
      </c>
      <c r="D129" t="s">
        <v>134</v>
      </c>
      <c r="E129" t="s">
        <v>14</v>
      </c>
      <c r="F129" t="str">
        <f>_xlfn.XLOOKUP(C129,Salespeople!$A$2:$A$11,Salespeople!$C$2:$C$11)</f>
        <v>Americas</v>
      </c>
      <c r="G129" t="str">
        <f>_xlfn.XLOOKUP(C129,Salespeople!$A$2:$A$11,Salespeople!$D$2:$D$11)</f>
        <v>Mexico</v>
      </c>
      <c r="H129" s="3">
        <v>25</v>
      </c>
      <c r="K129" s="8"/>
      <c r="L129" s="6"/>
      <c r="M129" s="6"/>
      <c r="N129" s="6"/>
    </row>
    <row r="130" spans="1:14" x14ac:dyDescent="0.45">
      <c r="A130" t="s">
        <v>212</v>
      </c>
      <c r="B130" s="4">
        <v>45642</v>
      </c>
      <c r="C130" t="s">
        <v>139</v>
      </c>
      <c r="D130" t="s">
        <v>53</v>
      </c>
      <c r="E130" t="s">
        <v>23</v>
      </c>
      <c r="F130" t="str">
        <f>_xlfn.XLOOKUP(C130,Salespeople!$A$2:$A$11,Salespeople!$C$2:$C$11)</f>
        <v>Americas</v>
      </c>
      <c r="G130" t="str">
        <f>_xlfn.XLOOKUP(C130,Salespeople!$A$2:$A$11,Salespeople!$D$2:$D$11)</f>
        <v>Canada</v>
      </c>
      <c r="H130" s="3">
        <v>19</v>
      </c>
      <c r="K130" s="8"/>
      <c r="L130" s="6"/>
      <c r="M130" s="6"/>
      <c r="N130" s="6"/>
    </row>
    <row r="131" spans="1:14" x14ac:dyDescent="0.45">
      <c r="A131" t="s">
        <v>213</v>
      </c>
      <c r="B131" s="4">
        <v>45469</v>
      </c>
      <c r="C131" t="s">
        <v>38</v>
      </c>
      <c r="D131" t="s">
        <v>44</v>
      </c>
      <c r="E131" t="s">
        <v>14</v>
      </c>
      <c r="F131" t="str">
        <f>_xlfn.XLOOKUP(C131,Salespeople!$A$2:$A$11,Salespeople!$C$2:$C$11)</f>
        <v>Americas</v>
      </c>
      <c r="G131" t="str">
        <f>_xlfn.XLOOKUP(C131,Salespeople!$A$2:$A$11,Salespeople!$D$2:$D$11)</f>
        <v>Brazil</v>
      </c>
      <c r="H131" s="3">
        <v>12</v>
      </c>
      <c r="K131" s="8"/>
      <c r="L131" s="6"/>
      <c r="M131" s="6"/>
      <c r="N131" s="6"/>
    </row>
    <row r="132" spans="1:14" x14ac:dyDescent="0.45">
      <c r="A132" t="s">
        <v>214</v>
      </c>
      <c r="B132" s="4">
        <v>45551</v>
      </c>
      <c r="C132" t="s">
        <v>83</v>
      </c>
      <c r="D132" t="s">
        <v>19</v>
      </c>
      <c r="E132" t="s">
        <v>48</v>
      </c>
      <c r="F132" t="str">
        <f>_xlfn.XLOOKUP(C132,Salespeople!$A$2:$A$11,Salespeople!$C$2:$C$11)</f>
        <v>EMEA</v>
      </c>
      <c r="G132" t="str">
        <f>_xlfn.XLOOKUP(C132,Salespeople!$A$2:$A$11,Salespeople!$D$2:$D$11)</f>
        <v>United Arab Emirates</v>
      </c>
      <c r="H132" s="3">
        <v>16</v>
      </c>
      <c r="K132" s="8"/>
      <c r="L132" s="6"/>
      <c r="M132" s="6"/>
      <c r="N132" s="6"/>
    </row>
    <row r="133" spans="1:14" x14ac:dyDescent="0.45">
      <c r="A133" t="s">
        <v>215</v>
      </c>
      <c r="B133" s="4">
        <v>45513</v>
      </c>
      <c r="C133" t="s">
        <v>83</v>
      </c>
      <c r="D133" t="s">
        <v>74</v>
      </c>
      <c r="E133" t="s">
        <v>48</v>
      </c>
      <c r="F133" t="str">
        <f>_xlfn.XLOOKUP(C133,Salespeople!$A$2:$A$11,Salespeople!$C$2:$C$11)</f>
        <v>EMEA</v>
      </c>
      <c r="G133" t="str">
        <f>_xlfn.XLOOKUP(C133,Salespeople!$A$2:$A$11,Salespeople!$D$2:$D$11)</f>
        <v>United Arab Emirates</v>
      </c>
      <c r="H133" s="3">
        <v>23</v>
      </c>
      <c r="K133" s="8"/>
      <c r="L133" s="6"/>
      <c r="M133" s="6"/>
      <c r="N133" s="6"/>
    </row>
    <row r="134" spans="1:14" x14ac:dyDescent="0.45">
      <c r="A134" t="s">
        <v>216</v>
      </c>
      <c r="B134" s="4">
        <v>45514</v>
      </c>
      <c r="C134" t="s">
        <v>26</v>
      </c>
      <c r="D134" t="s">
        <v>28</v>
      </c>
      <c r="E134" t="s">
        <v>14</v>
      </c>
      <c r="F134" t="str">
        <f>_xlfn.XLOOKUP(C134,Salespeople!$A$2:$A$11,Salespeople!$C$2:$C$11)</f>
        <v>APAC</v>
      </c>
      <c r="G134" t="str">
        <f>_xlfn.XLOOKUP(C134,Salespeople!$A$2:$A$11,Salespeople!$D$2:$D$11)</f>
        <v>Singapore</v>
      </c>
      <c r="H134" s="3">
        <v>21</v>
      </c>
      <c r="K134" s="8"/>
      <c r="L134" s="6"/>
      <c r="M134" s="6"/>
      <c r="N134" s="6"/>
    </row>
    <row r="135" spans="1:14" x14ac:dyDescent="0.45">
      <c r="A135" t="s">
        <v>217</v>
      </c>
      <c r="B135" s="4">
        <v>45607</v>
      </c>
      <c r="C135" t="s">
        <v>38</v>
      </c>
      <c r="D135" t="s">
        <v>53</v>
      </c>
      <c r="E135" t="s">
        <v>48</v>
      </c>
      <c r="F135" t="str">
        <f>_xlfn.XLOOKUP(C135,Salespeople!$A$2:$A$11,Salespeople!$C$2:$C$11)</f>
        <v>Americas</v>
      </c>
      <c r="G135" t="str">
        <f>_xlfn.XLOOKUP(C135,Salespeople!$A$2:$A$11,Salespeople!$D$2:$D$11)</f>
        <v>Brazil</v>
      </c>
      <c r="H135" s="3">
        <v>15</v>
      </c>
      <c r="K135" s="8"/>
      <c r="L135" s="6"/>
      <c r="M135" s="6"/>
      <c r="N135" s="6"/>
    </row>
    <row r="136" spans="1:14" x14ac:dyDescent="0.45">
      <c r="A136" t="s">
        <v>218</v>
      </c>
      <c r="B136" s="4">
        <v>45595</v>
      </c>
      <c r="C136" t="s">
        <v>66</v>
      </c>
      <c r="D136" t="s">
        <v>56</v>
      </c>
      <c r="E136" t="s">
        <v>23</v>
      </c>
      <c r="F136" t="str">
        <f>_xlfn.XLOOKUP(C136,Salespeople!$A$2:$A$11,Salespeople!$C$2:$C$11)</f>
        <v>Americas</v>
      </c>
      <c r="G136" t="str">
        <f>_xlfn.XLOOKUP(C136,Salespeople!$A$2:$A$11,Salespeople!$D$2:$D$11)</f>
        <v>United States</v>
      </c>
      <c r="H136" s="3">
        <v>3</v>
      </c>
      <c r="K136" s="8"/>
      <c r="L136" s="6"/>
      <c r="M136" s="6"/>
      <c r="N136" s="6"/>
    </row>
    <row r="137" spans="1:14" x14ac:dyDescent="0.45">
      <c r="A137" t="s">
        <v>219</v>
      </c>
      <c r="B137" s="4">
        <v>45522</v>
      </c>
      <c r="C137" t="s">
        <v>51</v>
      </c>
      <c r="D137" t="s">
        <v>53</v>
      </c>
      <c r="E137" t="s">
        <v>48</v>
      </c>
      <c r="F137" t="str">
        <f>_xlfn.XLOOKUP(C137,Salespeople!$A$2:$A$11,Salespeople!$C$2:$C$11)</f>
        <v>Americas</v>
      </c>
      <c r="G137" t="str">
        <f>_xlfn.XLOOKUP(C137,Salespeople!$A$2:$A$11,Salespeople!$D$2:$D$11)</f>
        <v>Mexico</v>
      </c>
      <c r="H137" s="3">
        <v>19</v>
      </c>
      <c r="K137" s="8"/>
      <c r="L137" s="6"/>
      <c r="M137" s="6"/>
      <c r="N137" s="6"/>
    </row>
    <row r="138" spans="1:14" x14ac:dyDescent="0.45">
      <c r="A138" t="s">
        <v>220</v>
      </c>
      <c r="B138" s="4">
        <v>45464</v>
      </c>
      <c r="C138" t="s">
        <v>131</v>
      </c>
      <c r="D138" t="s">
        <v>103</v>
      </c>
      <c r="E138" t="s">
        <v>48</v>
      </c>
      <c r="F138" t="str">
        <f>_xlfn.XLOOKUP(C138,Salespeople!$A$2:$A$11,Salespeople!$C$2:$C$11)</f>
        <v>EMEA</v>
      </c>
      <c r="G138" t="str">
        <f>_xlfn.XLOOKUP(C138,Salespeople!$A$2:$A$11,Salespeople!$D$2:$D$11)</f>
        <v>United Kingdom</v>
      </c>
      <c r="H138" s="3">
        <v>6</v>
      </c>
      <c r="K138" s="8"/>
      <c r="L138" s="6"/>
      <c r="M138" s="6"/>
      <c r="N138" s="6"/>
    </row>
    <row r="139" spans="1:14" x14ac:dyDescent="0.45">
      <c r="A139" t="s">
        <v>221</v>
      </c>
      <c r="B139" s="4">
        <v>45400</v>
      </c>
      <c r="C139" t="s">
        <v>83</v>
      </c>
      <c r="D139" t="s">
        <v>53</v>
      </c>
      <c r="E139" t="s">
        <v>48</v>
      </c>
      <c r="F139" t="str">
        <f>_xlfn.XLOOKUP(C139,Salespeople!$A$2:$A$11,Salespeople!$C$2:$C$11)</f>
        <v>EMEA</v>
      </c>
      <c r="G139" t="str">
        <f>_xlfn.XLOOKUP(C139,Salespeople!$A$2:$A$11,Salespeople!$D$2:$D$11)</f>
        <v>United Arab Emirates</v>
      </c>
      <c r="H139" s="3">
        <v>11</v>
      </c>
      <c r="K139" s="8"/>
      <c r="L139" s="6"/>
      <c r="M139" s="6"/>
      <c r="N139" s="6"/>
    </row>
    <row r="140" spans="1:14" x14ac:dyDescent="0.45">
      <c r="A140" t="s">
        <v>222</v>
      </c>
      <c r="B140" s="4">
        <v>45597</v>
      </c>
      <c r="C140" t="s">
        <v>66</v>
      </c>
      <c r="D140" t="s">
        <v>62</v>
      </c>
      <c r="E140" t="s">
        <v>23</v>
      </c>
      <c r="F140" t="str">
        <f>_xlfn.XLOOKUP(C140,Salespeople!$A$2:$A$11,Salespeople!$C$2:$C$11)</f>
        <v>Americas</v>
      </c>
      <c r="G140" t="str">
        <f>_xlfn.XLOOKUP(C140,Salespeople!$A$2:$A$11,Salespeople!$D$2:$D$11)</f>
        <v>United States</v>
      </c>
      <c r="H140" s="3">
        <v>17</v>
      </c>
      <c r="K140" s="8"/>
      <c r="L140" s="6"/>
      <c r="M140" s="6"/>
      <c r="N140" s="6"/>
    </row>
    <row r="141" spans="1:14" x14ac:dyDescent="0.45">
      <c r="A141" t="s">
        <v>223</v>
      </c>
      <c r="B141" s="4">
        <v>45335</v>
      </c>
      <c r="C141" t="s">
        <v>51</v>
      </c>
      <c r="D141" t="s">
        <v>28</v>
      </c>
      <c r="E141" t="s">
        <v>48</v>
      </c>
      <c r="F141" t="str">
        <f>_xlfn.XLOOKUP(C141,Salespeople!$A$2:$A$11,Salespeople!$C$2:$C$11)</f>
        <v>Americas</v>
      </c>
      <c r="G141" t="str">
        <f>_xlfn.XLOOKUP(C141,Salespeople!$A$2:$A$11,Salespeople!$D$2:$D$11)</f>
        <v>Mexico</v>
      </c>
      <c r="H141" s="3">
        <v>16</v>
      </c>
      <c r="K141" s="8"/>
      <c r="L141" s="6"/>
      <c r="M141" s="6"/>
      <c r="N141" s="6"/>
    </row>
    <row r="142" spans="1:14" x14ac:dyDescent="0.45">
      <c r="A142" t="s">
        <v>224</v>
      </c>
      <c r="B142" s="4">
        <v>45645</v>
      </c>
      <c r="C142" t="s">
        <v>60</v>
      </c>
      <c r="D142" t="s">
        <v>74</v>
      </c>
      <c r="E142" t="s">
        <v>14</v>
      </c>
      <c r="F142" t="str">
        <f>_xlfn.XLOOKUP(C142,Salespeople!$A$2:$A$11,Salespeople!$C$2:$C$11)</f>
        <v>APAC</v>
      </c>
      <c r="G142" t="str">
        <f>_xlfn.XLOOKUP(C142,Salespeople!$A$2:$A$11,Salespeople!$D$2:$D$11)</f>
        <v>Japan</v>
      </c>
      <c r="H142" s="3">
        <v>16</v>
      </c>
      <c r="K142" s="8"/>
      <c r="L142" s="6"/>
      <c r="M142" s="6"/>
      <c r="N142" s="6"/>
    </row>
    <row r="143" spans="1:14" x14ac:dyDescent="0.45">
      <c r="A143" t="s">
        <v>225</v>
      </c>
      <c r="B143" s="4">
        <v>45300</v>
      </c>
      <c r="C143" t="s">
        <v>17</v>
      </c>
      <c r="D143" t="s">
        <v>79</v>
      </c>
      <c r="E143" t="s">
        <v>23</v>
      </c>
      <c r="F143" t="str">
        <f>_xlfn.XLOOKUP(C143,Salespeople!$A$2:$A$11,Salespeople!$C$2:$C$11)</f>
        <v>EMEA</v>
      </c>
      <c r="G143" t="str">
        <f>_xlfn.XLOOKUP(C143,Salespeople!$A$2:$A$11,Salespeople!$D$2:$D$11)</f>
        <v>Portugal</v>
      </c>
      <c r="H143" s="3">
        <v>13</v>
      </c>
      <c r="K143" s="8"/>
      <c r="L143" s="6"/>
      <c r="M143" s="6"/>
      <c r="N143" s="6"/>
    </row>
    <row r="144" spans="1:14" x14ac:dyDescent="0.45">
      <c r="A144" t="s">
        <v>226</v>
      </c>
      <c r="B144" s="4">
        <v>45448</v>
      </c>
      <c r="C144" t="s">
        <v>139</v>
      </c>
      <c r="D144" t="s">
        <v>56</v>
      </c>
      <c r="E144" t="s">
        <v>48</v>
      </c>
      <c r="F144" t="str">
        <f>_xlfn.XLOOKUP(C144,Salespeople!$A$2:$A$11,Salespeople!$C$2:$C$11)</f>
        <v>Americas</v>
      </c>
      <c r="G144" t="str">
        <f>_xlfn.XLOOKUP(C144,Salespeople!$A$2:$A$11,Salespeople!$D$2:$D$11)</f>
        <v>Canada</v>
      </c>
      <c r="H144" s="3">
        <v>18</v>
      </c>
      <c r="K144" s="8"/>
      <c r="L144" s="6"/>
      <c r="M144" s="6"/>
      <c r="N144" s="6"/>
    </row>
    <row r="145" spans="1:14" x14ac:dyDescent="0.45">
      <c r="A145" t="s">
        <v>227</v>
      </c>
      <c r="B145" s="4">
        <v>45509</v>
      </c>
      <c r="C145" t="s">
        <v>38</v>
      </c>
      <c r="D145" t="s">
        <v>56</v>
      </c>
      <c r="E145" t="s">
        <v>48</v>
      </c>
      <c r="F145" t="str">
        <f>_xlfn.XLOOKUP(C145,Salespeople!$A$2:$A$11,Salespeople!$C$2:$C$11)</f>
        <v>Americas</v>
      </c>
      <c r="G145" t="str">
        <f>_xlfn.XLOOKUP(C145,Salespeople!$A$2:$A$11,Salespeople!$D$2:$D$11)</f>
        <v>Brazil</v>
      </c>
      <c r="H145" s="3">
        <v>23</v>
      </c>
      <c r="K145" s="8"/>
      <c r="L145" s="6"/>
      <c r="M145" s="6"/>
      <c r="N145" s="6"/>
    </row>
    <row r="146" spans="1:14" x14ac:dyDescent="0.45">
      <c r="A146" t="s">
        <v>228</v>
      </c>
      <c r="B146" s="4">
        <v>45430</v>
      </c>
      <c r="C146" t="s">
        <v>66</v>
      </c>
      <c r="D146" t="s">
        <v>79</v>
      </c>
      <c r="E146" t="s">
        <v>23</v>
      </c>
      <c r="F146" t="str">
        <f>_xlfn.XLOOKUP(C146,Salespeople!$A$2:$A$11,Salespeople!$C$2:$C$11)</f>
        <v>Americas</v>
      </c>
      <c r="G146" t="str">
        <f>_xlfn.XLOOKUP(C146,Salespeople!$A$2:$A$11,Salespeople!$D$2:$D$11)</f>
        <v>United States</v>
      </c>
      <c r="H146" s="3">
        <v>4</v>
      </c>
      <c r="K146" s="8"/>
      <c r="L146" s="6"/>
      <c r="M146" s="6"/>
      <c r="N146" s="6"/>
    </row>
    <row r="147" spans="1:14" x14ac:dyDescent="0.45">
      <c r="A147" t="s">
        <v>229</v>
      </c>
      <c r="B147" s="4">
        <v>45453</v>
      </c>
      <c r="C147" t="s">
        <v>17</v>
      </c>
      <c r="D147" t="s">
        <v>28</v>
      </c>
      <c r="E147" t="s">
        <v>14</v>
      </c>
      <c r="F147" t="str">
        <f>_xlfn.XLOOKUP(C147,Salespeople!$A$2:$A$11,Salespeople!$C$2:$C$11)</f>
        <v>EMEA</v>
      </c>
      <c r="G147" t="str">
        <f>_xlfn.XLOOKUP(C147,Salespeople!$A$2:$A$11,Salespeople!$D$2:$D$11)</f>
        <v>Portugal</v>
      </c>
      <c r="H147" s="3">
        <v>25</v>
      </c>
      <c r="K147" s="8"/>
      <c r="L147" s="6"/>
      <c r="M147" s="6"/>
      <c r="N147" s="6"/>
    </row>
    <row r="148" spans="1:14" x14ac:dyDescent="0.45">
      <c r="A148" t="s">
        <v>230</v>
      </c>
      <c r="B148" s="4">
        <v>45390</v>
      </c>
      <c r="C148" t="s">
        <v>51</v>
      </c>
      <c r="D148" t="s">
        <v>28</v>
      </c>
      <c r="E148" t="s">
        <v>48</v>
      </c>
      <c r="F148" t="str">
        <f>_xlfn.XLOOKUP(C148,Salespeople!$A$2:$A$11,Salespeople!$C$2:$C$11)</f>
        <v>Americas</v>
      </c>
      <c r="G148" t="str">
        <f>_xlfn.XLOOKUP(C148,Salespeople!$A$2:$A$11,Salespeople!$D$2:$D$11)</f>
        <v>Mexico</v>
      </c>
      <c r="H148" s="3">
        <v>9</v>
      </c>
      <c r="K148" s="8"/>
      <c r="L148" s="6"/>
      <c r="M148" s="6"/>
      <c r="N148" s="6"/>
    </row>
    <row r="149" spans="1:14" x14ac:dyDescent="0.45">
      <c r="A149" t="s">
        <v>231</v>
      </c>
      <c r="B149" s="4">
        <v>45343</v>
      </c>
      <c r="C149" t="s">
        <v>51</v>
      </c>
      <c r="D149" t="s">
        <v>79</v>
      </c>
      <c r="E149" t="s">
        <v>23</v>
      </c>
      <c r="F149" t="str">
        <f>_xlfn.XLOOKUP(C149,Salespeople!$A$2:$A$11,Salespeople!$C$2:$C$11)</f>
        <v>Americas</v>
      </c>
      <c r="G149" t="str">
        <f>_xlfn.XLOOKUP(C149,Salespeople!$A$2:$A$11,Salespeople!$D$2:$D$11)</f>
        <v>Mexico</v>
      </c>
      <c r="H149" s="3">
        <v>12</v>
      </c>
      <c r="K149" s="8"/>
      <c r="L149" s="6"/>
      <c r="M149" s="6"/>
      <c r="N149" s="6"/>
    </row>
    <row r="150" spans="1:14" x14ac:dyDescent="0.45">
      <c r="A150" t="s">
        <v>232</v>
      </c>
      <c r="B150" s="4">
        <v>45446</v>
      </c>
      <c r="C150" t="s">
        <v>131</v>
      </c>
      <c r="D150" t="s">
        <v>28</v>
      </c>
      <c r="E150" t="s">
        <v>14</v>
      </c>
      <c r="F150" t="str">
        <f>_xlfn.XLOOKUP(C150,Salespeople!$A$2:$A$11,Salespeople!$C$2:$C$11)</f>
        <v>EMEA</v>
      </c>
      <c r="G150" t="str">
        <f>_xlfn.XLOOKUP(C150,Salespeople!$A$2:$A$11,Salespeople!$D$2:$D$11)</f>
        <v>United Kingdom</v>
      </c>
      <c r="H150" s="3">
        <v>5</v>
      </c>
      <c r="K150" s="8"/>
      <c r="L150" s="6"/>
      <c r="M150" s="6"/>
      <c r="N150" s="6"/>
    </row>
    <row r="151" spans="1:14" x14ac:dyDescent="0.45">
      <c r="A151" t="s">
        <v>233</v>
      </c>
      <c r="B151" s="4">
        <v>45315</v>
      </c>
      <c r="C151" t="s">
        <v>131</v>
      </c>
      <c r="D151" t="s">
        <v>62</v>
      </c>
      <c r="E151" t="s">
        <v>48</v>
      </c>
      <c r="F151" t="str">
        <f>_xlfn.XLOOKUP(C151,Salespeople!$A$2:$A$11,Salespeople!$C$2:$C$11)</f>
        <v>EMEA</v>
      </c>
      <c r="G151" t="str">
        <f>_xlfn.XLOOKUP(C151,Salespeople!$A$2:$A$11,Salespeople!$D$2:$D$11)</f>
        <v>United Kingdom</v>
      </c>
      <c r="H151" s="3">
        <v>23</v>
      </c>
      <c r="K151" s="8"/>
      <c r="L151" s="6"/>
      <c r="M151" s="6"/>
      <c r="N151" s="6"/>
    </row>
    <row r="152" spans="1:14" x14ac:dyDescent="0.45">
      <c r="A152" t="s">
        <v>234</v>
      </c>
      <c r="B152" s="4">
        <v>45618</v>
      </c>
      <c r="C152" t="s">
        <v>60</v>
      </c>
      <c r="D152" t="s">
        <v>134</v>
      </c>
      <c r="E152" t="s">
        <v>23</v>
      </c>
      <c r="F152" t="str">
        <f>_xlfn.XLOOKUP(C152,Salespeople!$A$2:$A$11,Salespeople!$C$2:$C$11)</f>
        <v>APAC</v>
      </c>
      <c r="G152" t="str">
        <f>_xlfn.XLOOKUP(C152,Salespeople!$A$2:$A$11,Salespeople!$D$2:$D$11)</f>
        <v>Japan</v>
      </c>
      <c r="H152" s="3">
        <v>19</v>
      </c>
      <c r="K152" s="8"/>
      <c r="L152" s="6"/>
      <c r="M152" s="6"/>
      <c r="N152" s="6"/>
    </row>
    <row r="153" spans="1:14" x14ac:dyDescent="0.45">
      <c r="A153" t="s">
        <v>235</v>
      </c>
      <c r="B153" s="4">
        <v>45532</v>
      </c>
      <c r="C153" t="s">
        <v>60</v>
      </c>
      <c r="D153" t="s">
        <v>103</v>
      </c>
      <c r="E153" t="s">
        <v>48</v>
      </c>
      <c r="F153" t="str">
        <f>_xlfn.XLOOKUP(C153,Salespeople!$A$2:$A$11,Salespeople!$C$2:$C$11)</f>
        <v>APAC</v>
      </c>
      <c r="G153" t="str">
        <f>_xlfn.XLOOKUP(C153,Salespeople!$A$2:$A$11,Salespeople!$D$2:$D$11)</f>
        <v>Japan</v>
      </c>
      <c r="H153" s="3">
        <v>6</v>
      </c>
      <c r="K153" s="8"/>
      <c r="L153" s="6"/>
      <c r="M153" s="6"/>
      <c r="N153" s="6"/>
    </row>
    <row r="154" spans="1:14" x14ac:dyDescent="0.45">
      <c r="A154" t="s">
        <v>236</v>
      </c>
      <c r="B154" s="4">
        <v>45421</v>
      </c>
      <c r="C154" t="s">
        <v>60</v>
      </c>
      <c r="D154" t="s">
        <v>134</v>
      </c>
      <c r="E154" t="s">
        <v>23</v>
      </c>
      <c r="F154" t="str">
        <f>_xlfn.XLOOKUP(C154,Salespeople!$A$2:$A$11,Salespeople!$C$2:$C$11)</f>
        <v>APAC</v>
      </c>
      <c r="G154" t="str">
        <f>_xlfn.XLOOKUP(C154,Salespeople!$A$2:$A$11,Salespeople!$D$2:$D$11)</f>
        <v>Japan</v>
      </c>
      <c r="H154" s="3">
        <v>13</v>
      </c>
      <c r="K154" s="8"/>
      <c r="L154" s="6"/>
      <c r="M154" s="6"/>
      <c r="N154" s="6"/>
    </row>
    <row r="155" spans="1:14" x14ac:dyDescent="0.45">
      <c r="A155" t="s">
        <v>237</v>
      </c>
      <c r="B155" s="4">
        <v>45329</v>
      </c>
      <c r="C155" t="s">
        <v>139</v>
      </c>
      <c r="D155" t="s">
        <v>74</v>
      </c>
      <c r="E155" t="s">
        <v>14</v>
      </c>
      <c r="F155" t="str">
        <f>_xlfn.XLOOKUP(C155,Salespeople!$A$2:$A$11,Salespeople!$C$2:$C$11)</f>
        <v>Americas</v>
      </c>
      <c r="G155" t="str">
        <f>_xlfn.XLOOKUP(C155,Salespeople!$A$2:$A$11,Salespeople!$D$2:$D$11)</f>
        <v>Canada</v>
      </c>
      <c r="H155" s="3">
        <v>2</v>
      </c>
      <c r="K155" s="8"/>
      <c r="L155" s="6"/>
      <c r="M155" s="6"/>
      <c r="N155" s="6"/>
    </row>
    <row r="156" spans="1:14" x14ac:dyDescent="0.45">
      <c r="A156" t="s">
        <v>238</v>
      </c>
      <c r="B156" s="4">
        <v>45368</v>
      </c>
      <c r="C156" t="s">
        <v>139</v>
      </c>
      <c r="D156" t="s">
        <v>79</v>
      </c>
      <c r="E156" t="s">
        <v>23</v>
      </c>
      <c r="F156" t="str">
        <f>_xlfn.XLOOKUP(C156,Salespeople!$A$2:$A$11,Salespeople!$C$2:$C$11)</f>
        <v>Americas</v>
      </c>
      <c r="G156" t="str">
        <f>_xlfn.XLOOKUP(C156,Salespeople!$A$2:$A$11,Salespeople!$D$2:$D$11)</f>
        <v>Canada</v>
      </c>
      <c r="H156" s="3">
        <v>8</v>
      </c>
      <c r="K156" s="8"/>
      <c r="L156" s="6"/>
      <c r="M156" s="6"/>
      <c r="N156" s="6"/>
    </row>
    <row r="157" spans="1:14" x14ac:dyDescent="0.45">
      <c r="A157" t="s">
        <v>239</v>
      </c>
      <c r="B157" s="4">
        <v>45577</v>
      </c>
      <c r="C157" t="s">
        <v>33</v>
      </c>
      <c r="D157" t="s">
        <v>40</v>
      </c>
      <c r="E157" t="s">
        <v>14</v>
      </c>
      <c r="F157" t="str">
        <f>_xlfn.XLOOKUP(C157,Salespeople!$A$2:$A$11,Salespeople!$C$2:$C$11)</f>
        <v>EMEA</v>
      </c>
      <c r="G157" t="str">
        <f>_xlfn.XLOOKUP(C157,Salespeople!$A$2:$A$11,Salespeople!$D$2:$D$11)</f>
        <v>Kenya</v>
      </c>
      <c r="H157" s="3">
        <v>20</v>
      </c>
      <c r="K157" s="8"/>
      <c r="L157" s="6"/>
      <c r="M157" s="6"/>
      <c r="N157" s="6"/>
    </row>
    <row r="158" spans="1:14" x14ac:dyDescent="0.45">
      <c r="A158" t="s">
        <v>240</v>
      </c>
      <c r="B158" s="4">
        <v>45559</v>
      </c>
      <c r="C158" t="s">
        <v>33</v>
      </c>
      <c r="D158" t="s">
        <v>103</v>
      </c>
      <c r="E158" t="s">
        <v>48</v>
      </c>
      <c r="F158" t="str">
        <f>_xlfn.XLOOKUP(C158,Salespeople!$A$2:$A$11,Salespeople!$C$2:$C$11)</f>
        <v>EMEA</v>
      </c>
      <c r="G158" t="str">
        <f>_xlfn.XLOOKUP(C158,Salespeople!$A$2:$A$11,Salespeople!$D$2:$D$11)</f>
        <v>Kenya</v>
      </c>
      <c r="H158" s="3">
        <v>10</v>
      </c>
      <c r="K158" s="8"/>
      <c r="L158" s="6"/>
      <c r="M158" s="6"/>
      <c r="N158" s="6"/>
    </row>
    <row r="159" spans="1:14" x14ac:dyDescent="0.45">
      <c r="A159" t="s">
        <v>241</v>
      </c>
      <c r="B159" s="4">
        <v>45448</v>
      </c>
      <c r="C159" t="s">
        <v>139</v>
      </c>
      <c r="D159" t="s">
        <v>40</v>
      </c>
      <c r="E159" t="s">
        <v>23</v>
      </c>
      <c r="F159" t="str">
        <f>_xlfn.XLOOKUP(C159,Salespeople!$A$2:$A$11,Salespeople!$C$2:$C$11)</f>
        <v>Americas</v>
      </c>
      <c r="G159" t="str">
        <f>_xlfn.XLOOKUP(C159,Salespeople!$A$2:$A$11,Salespeople!$D$2:$D$11)</f>
        <v>Canada</v>
      </c>
      <c r="H159" s="3">
        <v>20</v>
      </c>
      <c r="K159" s="8"/>
      <c r="L159" s="6"/>
      <c r="M159" s="6"/>
      <c r="N159" s="6"/>
    </row>
    <row r="160" spans="1:14" x14ac:dyDescent="0.45">
      <c r="A160" t="s">
        <v>242</v>
      </c>
      <c r="B160" s="4">
        <v>45398</v>
      </c>
      <c r="C160" t="s">
        <v>51</v>
      </c>
      <c r="D160" t="s">
        <v>79</v>
      </c>
      <c r="E160" t="s">
        <v>14</v>
      </c>
      <c r="F160" t="str">
        <f>_xlfn.XLOOKUP(C160,Salespeople!$A$2:$A$11,Salespeople!$C$2:$C$11)</f>
        <v>Americas</v>
      </c>
      <c r="G160" t="str">
        <f>_xlfn.XLOOKUP(C160,Salespeople!$A$2:$A$11,Salespeople!$D$2:$D$11)</f>
        <v>Mexico</v>
      </c>
      <c r="H160" s="3">
        <v>3</v>
      </c>
      <c r="K160" s="8"/>
      <c r="L160" s="6"/>
      <c r="M160" s="6"/>
      <c r="N160" s="6"/>
    </row>
    <row r="161" spans="1:14" x14ac:dyDescent="0.45">
      <c r="A161" t="s">
        <v>243</v>
      </c>
      <c r="B161" s="4">
        <v>45414</v>
      </c>
      <c r="C161" t="s">
        <v>26</v>
      </c>
      <c r="D161" t="s">
        <v>62</v>
      </c>
      <c r="E161" t="s">
        <v>23</v>
      </c>
      <c r="F161" t="str">
        <f>_xlfn.XLOOKUP(C161,Salespeople!$A$2:$A$11,Salespeople!$C$2:$C$11)</f>
        <v>APAC</v>
      </c>
      <c r="G161" t="str">
        <f>_xlfn.XLOOKUP(C161,Salespeople!$A$2:$A$11,Salespeople!$D$2:$D$11)</f>
        <v>Singapore</v>
      </c>
      <c r="H161" s="3">
        <v>6</v>
      </c>
      <c r="K161" s="8"/>
      <c r="L161" s="6"/>
      <c r="M161" s="6"/>
      <c r="N161" s="6"/>
    </row>
    <row r="162" spans="1:14" x14ac:dyDescent="0.45">
      <c r="A162" t="s">
        <v>244</v>
      </c>
      <c r="B162" s="4">
        <v>45501</v>
      </c>
      <c r="C162" t="s">
        <v>60</v>
      </c>
      <c r="D162" t="s">
        <v>28</v>
      </c>
      <c r="E162" t="s">
        <v>14</v>
      </c>
      <c r="F162" t="str">
        <f>_xlfn.XLOOKUP(C162,Salespeople!$A$2:$A$11,Salespeople!$C$2:$C$11)</f>
        <v>APAC</v>
      </c>
      <c r="G162" t="str">
        <f>_xlfn.XLOOKUP(C162,Salespeople!$A$2:$A$11,Salespeople!$D$2:$D$11)</f>
        <v>Japan</v>
      </c>
      <c r="H162" s="3">
        <v>16</v>
      </c>
      <c r="K162" s="8"/>
      <c r="L162" s="6"/>
      <c r="M162" s="6"/>
      <c r="N162" s="6"/>
    </row>
    <row r="163" spans="1:14" x14ac:dyDescent="0.45">
      <c r="A163" t="s">
        <v>245</v>
      </c>
      <c r="B163" s="4">
        <v>45308</v>
      </c>
      <c r="C163" t="s">
        <v>51</v>
      </c>
      <c r="D163" t="s">
        <v>79</v>
      </c>
      <c r="E163" t="s">
        <v>14</v>
      </c>
      <c r="F163" t="str">
        <f>_xlfn.XLOOKUP(C163,Salespeople!$A$2:$A$11,Salespeople!$C$2:$C$11)</f>
        <v>Americas</v>
      </c>
      <c r="G163" t="str">
        <f>_xlfn.XLOOKUP(C163,Salespeople!$A$2:$A$11,Salespeople!$D$2:$D$11)</f>
        <v>Mexico</v>
      </c>
      <c r="H163" s="3">
        <v>10</v>
      </c>
      <c r="K163" s="8"/>
      <c r="L163" s="6"/>
      <c r="M163" s="6"/>
      <c r="N163" s="6"/>
    </row>
    <row r="164" spans="1:14" x14ac:dyDescent="0.45">
      <c r="A164" t="s">
        <v>246</v>
      </c>
      <c r="B164" s="4">
        <v>45328</v>
      </c>
      <c r="C164" t="s">
        <v>51</v>
      </c>
      <c r="D164" t="s">
        <v>91</v>
      </c>
      <c r="E164" t="s">
        <v>48</v>
      </c>
      <c r="F164" t="str">
        <f>_xlfn.XLOOKUP(C164,Salespeople!$A$2:$A$11,Salespeople!$C$2:$C$11)</f>
        <v>Americas</v>
      </c>
      <c r="G164" t="str">
        <f>_xlfn.XLOOKUP(C164,Salespeople!$A$2:$A$11,Salespeople!$D$2:$D$11)</f>
        <v>Mexico</v>
      </c>
      <c r="H164" s="3">
        <v>21</v>
      </c>
      <c r="K164" s="8"/>
      <c r="L164" s="6"/>
      <c r="M164" s="6"/>
      <c r="N164" s="6"/>
    </row>
    <row r="165" spans="1:14" x14ac:dyDescent="0.45">
      <c r="A165" t="s">
        <v>247</v>
      </c>
      <c r="B165" s="4">
        <v>45509</v>
      </c>
      <c r="C165" t="s">
        <v>17</v>
      </c>
      <c r="D165" t="s">
        <v>62</v>
      </c>
      <c r="E165" t="s">
        <v>23</v>
      </c>
      <c r="F165" t="str">
        <f>_xlfn.XLOOKUP(C165,Salespeople!$A$2:$A$11,Salespeople!$C$2:$C$11)</f>
        <v>EMEA</v>
      </c>
      <c r="G165" t="str">
        <f>_xlfn.XLOOKUP(C165,Salespeople!$A$2:$A$11,Salespeople!$D$2:$D$11)</f>
        <v>Portugal</v>
      </c>
      <c r="H165" s="3">
        <v>21</v>
      </c>
      <c r="K165" s="8"/>
      <c r="L165" s="6"/>
      <c r="M165" s="6"/>
      <c r="N165" s="6"/>
    </row>
    <row r="166" spans="1:14" x14ac:dyDescent="0.45">
      <c r="A166" t="s">
        <v>248</v>
      </c>
      <c r="B166" s="4">
        <v>45428</v>
      </c>
      <c r="C166" t="s">
        <v>26</v>
      </c>
      <c r="D166" t="s">
        <v>134</v>
      </c>
      <c r="E166" t="s">
        <v>23</v>
      </c>
      <c r="F166" t="str">
        <f>_xlfn.XLOOKUP(C166,Salespeople!$A$2:$A$11,Salespeople!$C$2:$C$11)</f>
        <v>APAC</v>
      </c>
      <c r="G166" t="str">
        <f>_xlfn.XLOOKUP(C166,Salespeople!$A$2:$A$11,Salespeople!$D$2:$D$11)</f>
        <v>Singapore</v>
      </c>
      <c r="H166" s="3">
        <v>6</v>
      </c>
      <c r="K166" s="8"/>
      <c r="L166" s="6"/>
      <c r="M166" s="6"/>
      <c r="N166" s="6"/>
    </row>
    <row r="167" spans="1:14" x14ac:dyDescent="0.45">
      <c r="A167" t="s">
        <v>249</v>
      </c>
      <c r="B167" s="4">
        <v>45596</v>
      </c>
      <c r="C167" t="s">
        <v>139</v>
      </c>
      <c r="D167" t="s">
        <v>91</v>
      </c>
      <c r="E167" t="s">
        <v>48</v>
      </c>
      <c r="F167" t="str">
        <f>_xlfn.XLOOKUP(C167,Salespeople!$A$2:$A$11,Salespeople!$C$2:$C$11)</f>
        <v>Americas</v>
      </c>
      <c r="G167" t="str">
        <f>_xlfn.XLOOKUP(C167,Salespeople!$A$2:$A$11,Salespeople!$D$2:$D$11)</f>
        <v>Canada</v>
      </c>
      <c r="H167" s="3">
        <v>15</v>
      </c>
      <c r="K167" s="8"/>
      <c r="L167" s="6"/>
      <c r="M167" s="6"/>
      <c r="N167" s="6"/>
    </row>
    <row r="168" spans="1:14" x14ac:dyDescent="0.45">
      <c r="A168" t="s">
        <v>250</v>
      </c>
      <c r="B168" s="4">
        <v>45531</v>
      </c>
      <c r="C168" t="s">
        <v>66</v>
      </c>
      <c r="D168" t="s">
        <v>28</v>
      </c>
      <c r="E168" t="s">
        <v>48</v>
      </c>
      <c r="F168" t="str">
        <f>_xlfn.XLOOKUP(C168,Salespeople!$A$2:$A$11,Salespeople!$C$2:$C$11)</f>
        <v>Americas</v>
      </c>
      <c r="G168" t="str">
        <f>_xlfn.XLOOKUP(C168,Salespeople!$A$2:$A$11,Salespeople!$D$2:$D$11)</f>
        <v>United States</v>
      </c>
      <c r="H168" s="3">
        <v>9</v>
      </c>
      <c r="K168" s="8"/>
      <c r="L168" s="6"/>
      <c r="M168" s="6"/>
      <c r="N168" s="6"/>
    </row>
    <row r="169" spans="1:14" x14ac:dyDescent="0.45">
      <c r="A169" t="s">
        <v>251</v>
      </c>
      <c r="B169" s="4">
        <v>45516</v>
      </c>
      <c r="C169" t="s">
        <v>17</v>
      </c>
      <c r="D169" t="s">
        <v>40</v>
      </c>
      <c r="E169" t="s">
        <v>23</v>
      </c>
      <c r="F169" t="str">
        <f>_xlfn.XLOOKUP(C169,Salespeople!$A$2:$A$11,Salespeople!$C$2:$C$11)</f>
        <v>EMEA</v>
      </c>
      <c r="G169" t="str">
        <f>_xlfn.XLOOKUP(C169,Salespeople!$A$2:$A$11,Salespeople!$D$2:$D$11)</f>
        <v>Portugal</v>
      </c>
      <c r="H169" s="3">
        <v>14</v>
      </c>
      <c r="K169" s="8"/>
      <c r="L169" s="6"/>
      <c r="M169" s="6"/>
      <c r="N169" s="6"/>
    </row>
    <row r="170" spans="1:14" x14ac:dyDescent="0.45">
      <c r="A170" t="s">
        <v>252</v>
      </c>
      <c r="B170" s="4">
        <v>45601</v>
      </c>
      <c r="C170" t="s">
        <v>66</v>
      </c>
      <c r="D170" t="s">
        <v>19</v>
      </c>
      <c r="E170" t="s">
        <v>23</v>
      </c>
      <c r="F170" t="str">
        <f>_xlfn.XLOOKUP(C170,Salespeople!$A$2:$A$11,Salespeople!$C$2:$C$11)</f>
        <v>Americas</v>
      </c>
      <c r="G170" t="str">
        <f>_xlfn.XLOOKUP(C170,Salespeople!$A$2:$A$11,Salespeople!$D$2:$D$11)</f>
        <v>United States</v>
      </c>
      <c r="H170" s="3">
        <v>8</v>
      </c>
      <c r="K170" s="8"/>
      <c r="L170" s="6"/>
      <c r="M170" s="6"/>
      <c r="N170" s="6"/>
    </row>
    <row r="171" spans="1:14" x14ac:dyDescent="0.45">
      <c r="A171" t="s">
        <v>253</v>
      </c>
      <c r="B171" s="4">
        <v>45636</v>
      </c>
      <c r="C171" t="s">
        <v>66</v>
      </c>
      <c r="D171" t="s">
        <v>40</v>
      </c>
      <c r="E171" t="s">
        <v>23</v>
      </c>
      <c r="F171" t="str">
        <f>_xlfn.XLOOKUP(C171,Salespeople!$A$2:$A$11,Salespeople!$C$2:$C$11)</f>
        <v>Americas</v>
      </c>
      <c r="G171" t="str">
        <f>_xlfn.XLOOKUP(C171,Salespeople!$A$2:$A$11,Salespeople!$D$2:$D$11)</f>
        <v>United States</v>
      </c>
      <c r="H171" s="3">
        <v>25</v>
      </c>
      <c r="K171" s="8"/>
      <c r="L171" s="6"/>
      <c r="M171" s="6"/>
      <c r="N171" s="6"/>
    </row>
    <row r="172" spans="1:14" x14ac:dyDescent="0.45">
      <c r="A172" t="s">
        <v>254</v>
      </c>
      <c r="B172" s="4">
        <v>45532</v>
      </c>
      <c r="C172" t="s">
        <v>38</v>
      </c>
      <c r="D172" t="s">
        <v>74</v>
      </c>
      <c r="E172" t="s">
        <v>48</v>
      </c>
      <c r="F172" t="str">
        <f>_xlfn.XLOOKUP(C172,Salespeople!$A$2:$A$11,Salespeople!$C$2:$C$11)</f>
        <v>Americas</v>
      </c>
      <c r="G172" t="str">
        <f>_xlfn.XLOOKUP(C172,Salespeople!$A$2:$A$11,Salespeople!$D$2:$D$11)</f>
        <v>Brazil</v>
      </c>
      <c r="H172" s="3">
        <v>9</v>
      </c>
      <c r="K172" s="8"/>
      <c r="L172" s="6"/>
      <c r="M172" s="6"/>
      <c r="N172" s="6"/>
    </row>
    <row r="173" spans="1:14" x14ac:dyDescent="0.45">
      <c r="A173" t="s">
        <v>255</v>
      </c>
      <c r="B173" s="4">
        <v>45591</v>
      </c>
      <c r="C173" t="s">
        <v>33</v>
      </c>
      <c r="D173" t="s">
        <v>74</v>
      </c>
      <c r="E173" t="s">
        <v>48</v>
      </c>
      <c r="F173" t="str">
        <f>_xlfn.XLOOKUP(C173,Salespeople!$A$2:$A$11,Salespeople!$C$2:$C$11)</f>
        <v>EMEA</v>
      </c>
      <c r="G173" t="str">
        <f>_xlfn.XLOOKUP(C173,Salespeople!$A$2:$A$11,Salespeople!$D$2:$D$11)</f>
        <v>Kenya</v>
      </c>
      <c r="H173" s="3">
        <v>3</v>
      </c>
      <c r="K173" s="8"/>
      <c r="L173" s="6"/>
      <c r="M173" s="6"/>
      <c r="N173" s="6"/>
    </row>
    <row r="174" spans="1:14" x14ac:dyDescent="0.45">
      <c r="A174" t="s">
        <v>256</v>
      </c>
      <c r="B174" s="4">
        <v>45470</v>
      </c>
      <c r="C174" t="s">
        <v>33</v>
      </c>
      <c r="D174" t="s">
        <v>56</v>
      </c>
      <c r="E174" t="s">
        <v>48</v>
      </c>
      <c r="F174" t="str">
        <f>_xlfn.XLOOKUP(C174,Salespeople!$A$2:$A$11,Salespeople!$C$2:$C$11)</f>
        <v>EMEA</v>
      </c>
      <c r="G174" t="str">
        <f>_xlfn.XLOOKUP(C174,Salespeople!$A$2:$A$11,Salespeople!$D$2:$D$11)</f>
        <v>Kenya</v>
      </c>
      <c r="H174" s="3">
        <v>22</v>
      </c>
      <c r="K174" s="8"/>
      <c r="L174" s="6"/>
      <c r="M174" s="6"/>
      <c r="N174" s="6"/>
    </row>
    <row r="175" spans="1:14" x14ac:dyDescent="0.45">
      <c r="A175" t="s">
        <v>257</v>
      </c>
      <c r="B175" s="4">
        <v>45374</v>
      </c>
      <c r="C175" t="s">
        <v>83</v>
      </c>
      <c r="D175" t="s">
        <v>44</v>
      </c>
      <c r="E175" t="s">
        <v>14</v>
      </c>
      <c r="F175" t="str">
        <f>_xlfn.XLOOKUP(C175,Salespeople!$A$2:$A$11,Salespeople!$C$2:$C$11)</f>
        <v>EMEA</v>
      </c>
      <c r="G175" t="str">
        <f>_xlfn.XLOOKUP(C175,Salespeople!$A$2:$A$11,Salespeople!$D$2:$D$11)</f>
        <v>United Arab Emirates</v>
      </c>
      <c r="H175" s="3">
        <v>16</v>
      </c>
      <c r="K175" s="8"/>
      <c r="L175" s="6"/>
      <c r="M175" s="6"/>
      <c r="N175" s="6"/>
    </row>
    <row r="176" spans="1:14" x14ac:dyDescent="0.45">
      <c r="A176" t="s">
        <v>258</v>
      </c>
      <c r="B176" s="4">
        <v>45631</v>
      </c>
      <c r="C176" t="s">
        <v>33</v>
      </c>
      <c r="D176" t="s">
        <v>68</v>
      </c>
      <c r="E176" t="s">
        <v>14</v>
      </c>
      <c r="F176" t="str">
        <f>_xlfn.XLOOKUP(C176,Salespeople!$A$2:$A$11,Salespeople!$C$2:$C$11)</f>
        <v>EMEA</v>
      </c>
      <c r="G176" t="str">
        <f>_xlfn.XLOOKUP(C176,Salespeople!$A$2:$A$11,Salespeople!$D$2:$D$11)</f>
        <v>Kenya</v>
      </c>
      <c r="H176" s="3">
        <v>2</v>
      </c>
      <c r="K176" s="8"/>
      <c r="L176" s="6"/>
      <c r="M176" s="6"/>
      <c r="N176" s="6"/>
    </row>
    <row r="177" spans="1:14" x14ac:dyDescent="0.45">
      <c r="A177" t="s">
        <v>259</v>
      </c>
      <c r="B177" s="4">
        <v>45337</v>
      </c>
      <c r="C177" t="s">
        <v>83</v>
      </c>
      <c r="D177" t="s">
        <v>79</v>
      </c>
      <c r="E177" t="s">
        <v>48</v>
      </c>
      <c r="F177" t="str">
        <f>_xlfn.XLOOKUP(C177,Salespeople!$A$2:$A$11,Salespeople!$C$2:$C$11)</f>
        <v>EMEA</v>
      </c>
      <c r="G177" t="str">
        <f>_xlfn.XLOOKUP(C177,Salespeople!$A$2:$A$11,Salespeople!$D$2:$D$11)</f>
        <v>United Arab Emirates</v>
      </c>
      <c r="H177" s="3">
        <v>4</v>
      </c>
      <c r="K177" s="8"/>
      <c r="L177" s="6"/>
      <c r="M177" s="6"/>
      <c r="N177" s="6"/>
    </row>
    <row r="178" spans="1:14" x14ac:dyDescent="0.45">
      <c r="A178" t="s">
        <v>260</v>
      </c>
      <c r="B178" s="4">
        <v>45555</v>
      </c>
      <c r="C178" t="s">
        <v>131</v>
      </c>
      <c r="D178" t="s">
        <v>74</v>
      </c>
      <c r="E178" t="s">
        <v>14</v>
      </c>
      <c r="F178" t="str">
        <f>_xlfn.XLOOKUP(C178,Salespeople!$A$2:$A$11,Salespeople!$C$2:$C$11)</f>
        <v>EMEA</v>
      </c>
      <c r="G178" t="str">
        <f>_xlfn.XLOOKUP(C178,Salespeople!$A$2:$A$11,Salespeople!$D$2:$D$11)</f>
        <v>United Kingdom</v>
      </c>
      <c r="H178" s="3">
        <v>15</v>
      </c>
      <c r="K178" s="8"/>
      <c r="L178" s="6"/>
      <c r="M178" s="6"/>
      <c r="N178" s="6"/>
    </row>
    <row r="179" spans="1:14" x14ac:dyDescent="0.45">
      <c r="A179" t="s">
        <v>261</v>
      </c>
      <c r="B179" s="4">
        <v>45319</v>
      </c>
      <c r="C179" t="s">
        <v>51</v>
      </c>
      <c r="D179" t="s">
        <v>62</v>
      </c>
      <c r="E179" t="s">
        <v>48</v>
      </c>
      <c r="F179" t="str">
        <f>_xlfn.XLOOKUP(C179,Salespeople!$A$2:$A$11,Salespeople!$C$2:$C$11)</f>
        <v>Americas</v>
      </c>
      <c r="G179" t="str">
        <f>_xlfn.XLOOKUP(C179,Salespeople!$A$2:$A$11,Salespeople!$D$2:$D$11)</f>
        <v>Mexico</v>
      </c>
      <c r="H179" s="3">
        <v>20</v>
      </c>
      <c r="K179" s="8"/>
      <c r="L179" s="6"/>
      <c r="M179" s="6"/>
      <c r="N179" s="6"/>
    </row>
    <row r="180" spans="1:14" x14ac:dyDescent="0.45">
      <c r="A180" t="s">
        <v>262</v>
      </c>
      <c r="B180" s="4">
        <v>45612</v>
      </c>
      <c r="C180" t="s">
        <v>60</v>
      </c>
      <c r="D180" t="s">
        <v>53</v>
      </c>
      <c r="E180" t="s">
        <v>23</v>
      </c>
      <c r="F180" t="str">
        <f>_xlfn.XLOOKUP(C180,Salespeople!$A$2:$A$11,Salespeople!$C$2:$C$11)</f>
        <v>APAC</v>
      </c>
      <c r="G180" t="str">
        <f>_xlfn.XLOOKUP(C180,Salespeople!$A$2:$A$11,Salespeople!$D$2:$D$11)</f>
        <v>Japan</v>
      </c>
      <c r="H180" s="3">
        <v>7</v>
      </c>
      <c r="K180" s="8"/>
      <c r="L180" s="6"/>
      <c r="M180" s="6"/>
      <c r="N180" s="6"/>
    </row>
    <row r="181" spans="1:14" x14ac:dyDescent="0.45">
      <c r="A181" t="s">
        <v>263</v>
      </c>
      <c r="B181" s="4">
        <v>45573</v>
      </c>
      <c r="C181" t="s">
        <v>26</v>
      </c>
      <c r="D181" t="s">
        <v>91</v>
      </c>
      <c r="E181" t="s">
        <v>48</v>
      </c>
      <c r="F181" t="str">
        <f>_xlfn.XLOOKUP(C181,Salespeople!$A$2:$A$11,Salespeople!$C$2:$C$11)</f>
        <v>APAC</v>
      </c>
      <c r="G181" t="str">
        <f>_xlfn.XLOOKUP(C181,Salespeople!$A$2:$A$11,Salespeople!$D$2:$D$11)</f>
        <v>Singapore</v>
      </c>
      <c r="H181" s="3">
        <v>15</v>
      </c>
      <c r="K181" s="8"/>
      <c r="L181" s="6"/>
      <c r="M181" s="6"/>
      <c r="N181" s="6"/>
    </row>
    <row r="182" spans="1:14" x14ac:dyDescent="0.45">
      <c r="A182" t="s">
        <v>264</v>
      </c>
      <c r="B182" s="4">
        <v>45354</v>
      </c>
      <c r="C182" t="s">
        <v>131</v>
      </c>
      <c r="D182" t="s">
        <v>74</v>
      </c>
      <c r="E182" t="s">
        <v>14</v>
      </c>
      <c r="F182" t="str">
        <f>_xlfn.XLOOKUP(C182,Salespeople!$A$2:$A$11,Salespeople!$C$2:$C$11)</f>
        <v>EMEA</v>
      </c>
      <c r="G182" t="str">
        <f>_xlfn.XLOOKUP(C182,Salespeople!$A$2:$A$11,Salespeople!$D$2:$D$11)</f>
        <v>United Kingdom</v>
      </c>
      <c r="H182" s="3">
        <v>8</v>
      </c>
      <c r="K182" s="8"/>
      <c r="L182" s="6"/>
      <c r="M182" s="6"/>
      <c r="N182" s="6"/>
    </row>
    <row r="183" spans="1:14" x14ac:dyDescent="0.45">
      <c r="A183" t="s">
        <v>265</v>
      </c>
      <c r="B183" s="4">
        <v>45451</v>
      </c>
      <c r="C183" t="s">
        <v>38</v>
      </c>
      <c r="D183" t="s">
        <v>19</v>
      </c>
      <c r="E183" t="s">
        <v>14</v>
      </c>
      <c r="F183" t="str">
        <f>_xlfn.XLOOKUP(C183,Salespeople!$A$2:$A$11,Salespeople!$C$2:$C$11)</f>
        <v>Americas</v>
      </c>
      <c r="G183" t="str">
        <f>_xlfn.XLOOKUP(C183,Salespeople!$A$2:$A$11,Salespeople!$D$2:$D$11)</f>
        <v>Brazil</v>
      </c>
      <c r="H183" s="3">
        <v>14</v>
      </c>
      <c r="K183" s="8"/>
      <c r="L183" s="6"/>
      <c r="M183" s="6"/>
      <c r="N183" s="6"/>
    </row>
    <row r="184" spans="1:14" x14ac:dyDescent="0.45">
      <c r="A184" t="s">
        <v>266</v>
      </c>
      <c r="B184" s="4">
        <v>45407</v>
      </c>
      <c r="C184" t="s">
        <v>17</v>
      </c>
      <c r="D184" t="s">
        <v>103</v>
      </c>
      <c r="E184" t="s">
        <v>23</v>
      </c>
      <c r="F184" t="str">
        <f>_xlfn.XLOOKUP(C184,Salespeople!$A$2:$A$11,Salespeople!$C$2:$C$11)</f>
        <v>EMEA</v>
      </c>
      <c r="G184" t="str">
        <f>_xlfn.XLOOKUP(C184,Salespeople!$A$2:$A$11,Salespeople!$D$2:$D$11)</f>
        <v>Portugal</v>
      </c>
      <c r="H184" s="3">
        <v>21</v>
      </c>
      <c r="K184" s="8"/>
      <c r="L184" s="6"/>
      <c r="M184" s="6"/>
      <c r="N184" s="6"/>
    </row>
    <row r="185" spans="1:14" x14ac:dyDescent="0.45">
      <c r="A185" t="s">
        <v>267</v>
      </c>
      <c r="B185" s="4">
        <v>45547</v>
      </c>
      <c r="C185" t="s">
        <v>66</v>
      </c>
      <c r="D185" t="s">
        <v>62</v>
      </c>
      <c r="E185" t="s">
        <v>14</v>
      </c>
      <c r="F185" t="str">
        <f>_xlfn.XLOOKUP(C185,Salespeople!$A$2:$A$11,Salespeople!$C$2:$C$11)</f>
        <v>Americas</v>
      </c>
      <c r="G185" t="str">
        <f>_xlfn.XLOOKUP(C185,Salespeople!$A$2:$A$11,Salespeople!$D$2:$D$11)</f>
        <v>United States</v>
      </c>
      <c r="H185" s="3">
        <v>9</v>
      </c>
      <c r="K185" s="8"/>
      <c r="L185" s="6"/>
      <c r="M185" s="6"/>
      <c r="N185" s="6"/>
    </row>
    <row r="186" spans="1:14" x14ac:dyDescent="0.45">
      <c r="A186" t="s">
        <v>268</v>
      </c>
      <c r="B186" s="4">
        <v>45539</v>
      </c>
      <c r="C186" t="s">
        <v>60</v>
      </c>
      <c r="D186" t="s">
        <v>88</v>
      </c>
      <c r="E186" t="s">
        <v>48</v>
      </c>
      <c r="F186" t="str">
        <f>_xlfn.XLOOKUP(C186,Salespeople!$A$2:$A$11,Salespeople!$C$2:$C$11)</f>
        <v>APAC</v>
      </c>
      <c r="G186" t="str">
        <f>_xlfn.XLOOKUP(C186,Salespeople!$A$2:$A$11,Salespeople!$D$2:$D$11)</f>
        <v>Japan</v>
      </c>
      <c r="H186" s="3">
        <v>18</v>
      </c>
      <c r="K186" s="8"/>
      <c r="L186" s="6"/>
      <c r="M186" s="6"/>
      <c r="N186" s="6"/>
    </row>
    <row r="187" spans="1:14" x14ac:dyDescent="0.45">
      <c r="A187" t="s">
        <v>269</v>
      </c>
      <c r="B187" s="4">
        <v>45488</v>
      </c>
      <c r="C187" t="s">
        <v>51</v>
      </c>
      <c r="D187" t="s">
        <v>91</v>
      </c>
      <c r="E187" t="s">
        <v>14</v>
      </c>
      <c r="F187" t="str">
        <f>_xlfn.XLOOKUP(C187,Salespeople!$A$2:$A$11,Salespeople!$C$2:$C$11)</f>
        <v>Americas</v>
      </c>
      <c r="G187" t="str">
        <f>_xlfn.XLOOKUP(C187,Salespeople!$A$2:$A$11,Salespeople!$D$2:$D$11)</f>
        <v>Mexico</v>
      </c>
      <c r="H187" s="3">
        <v>17</v>
      </c>
      <c r="K187" s="8"/>
      <c r="L187" s="6"/>
      <c r="M187" s="6"/>
      <c r="N187" s="6"/>
    </row>
    <row r="188" spans="1:14" x14ac:dyDescent="0.45">
      <c r="A188" t="s">
        <v>270</v>
      </c>
      <c r="B188" s="4">
        <v>45327</v>
      </c>
      <c r="C188" t="s">
        <v>66</v>
      </c>
      <c r="D188" t="s">
        <v>53</v>
      </c>
      <c r="E188" t="s">
        <v>48</v>
      </c>
      <c r="F188" t="str">
        <f>_xlfn.XLOOKUP(C188,Salespeople!$A$2:$A$11,Salespeople!$C$2:$C$11)</f>
        <v>Americas</v>
      </c>
      <c r="G188" t="str">
        <f>_xlfn.XLOOKUP(C188,Salespeople!$A$2:$A$11,Salespeople!$D$2:$D$11)</f>
        <v>United States</v>
      </c>
      <c r="H188" s="3">
        <v>11</v>
      </c>
      <c r="K188" s="8"/>
      <c r="L188" s="6"/>
      <c r="M188" s="6"/>
      <c r="N188" s="6"/>
    </row>
    <row r="189" spans="1:14" x14ac:dyDescent="0.45">
      <c r="A189" t="s">
        <v>271</v>
      </c>
      <c r="B189" s="4">
        <v>45293</v>
      </c>
      <c r="C189" t="s">
        <v>66</v>
      </c>
      <c r="D189" t="s">
        <v>28</v>
      </c>
      <c r="E189" t="s">
        <v>48</v>
      </c>
      <c r="F189" t="str">
        <f>_xlfn.XLOOKUP(C189,Salespeople!$A$2:$A$11,Salespeople!$C$2:$C$11)</f>
        <v>Americas</v>
      </c>
      <c r="G189" t="str">
        <f>_xlfn.XLOOKUP(C189,Salespeople!$A$2:$A$11,Salespeople!$D$2:$D$11)</f>
        <v>United States</v>
      </c>
      <c r="H189" s="3">
        <v>19</v>
      </c>
      <c r="K189" s="8"/>
      <c r="L189" s="6"/>
      <c r="M189" s="6"/>
      <c r="N189" s="6"/>
    </row>
    <row r="190" spans="1:14" x14ac:dyDescent="0.45">
      <c r="A190" t="s">
        <v>272</v>
      </c>
      <c r="B190" s="4">
        <v>45368</v>
      </c>
      <c r="C190" t="s">
        <v>60</v>
      </c>
      <c r="D190" t="s">
        <v>62</v>
      </c>
      <c r="E190" t="s">
        <v>48</v>
      </c>
      <c r="F190" t="str">
        <f>_xlfn.XLOOKUP(C190,Salespeople!$A$2:$A$11,Salespeople!$C$2:$C$11)</f>
        <v>APAC</v>
      </c>
      <c r="G190" t="str">
        <f>_xlfn.XLOOKUP(C190,Salespeople!$A$2:$A$11,Salespeople!$D$2:$D$11)</f>
        <v>Japan</v>
      </c>
      <c r="H190" s="3">
        <v>12</v>
      </c>
      <c r="K190" s="8"/>
      <c r="L190" s="6"/>
      <c r="M190" s="6"/>
      <c r="N190" s="6"/>
    </row>
    <row r="191" spans="1:14" x14ac:dyDescent="0.45">
      <c r="A191" t="s">
        <v>273</v>
      </c>
      <c r="B191" s="4">
        <v>45574</v>
      </c>
      <c r="C191" t="s">
        <v>38</v>
      </c>
      <c r="D191" t="s">
        <v>44</v>
      </c>
      <c r="E191" t="s">
        <v>48</v>
      </c>
      <c r="F191" t="str">
        <f>_xlfn.XLOOKUP(C191,Salespeople!$A$2:$A$11,Salespeople!$C$2:$C$11)</f>
        <v>Americas</v>
      </c>
      <c r="G191" t="str">
        <f>_xlfn.XLOOKUP(C191,Salespeople!$A$2:$A$11,Salespeople!$D$2:$D$11)</f>
        <v>Brazil</v>
      </c>
      <c r="H191" s="3">
        <v>11</v>
      </c>
      <c r="K191" s="8"/>
      <c r="L191" s="6"/>
      <c r="M191" s="6"/>
      <c r="N191" s="6"/>
    </row>
    <row r="192" spans="1:14" x14ac:dyDescent="0.45">
      <c r="A192" t="s">
        <v>274</v>
      </c>
      <c r="B192" s="4">
        <v>45649</v>
      </c>
      <c r="C192" t="s">
        <v>51</v>
      </c>
      <c r="D192" t="s">
        <v>40</v>
      </c>
      <c r="E192" t="s">
        <v>48</v>
      </c>
      <c r="F192" t="str">
        <f>_xlfn.XLOOKUP(C192,Salespeople!$A$2:$A$11,Salespeople!$C$2:$C$11)</f>
        <v>Americas</v>
      </c>
      <c r="G192" t="str">
        <f>_xlfn.XLOOKUP(C192,Salespeople!$A$2:$A$11,Salespeople!$D$2:$D$11)</f>
        <v>Mexico</v>
      </c>
      <c r="H192" s="3">
        <v>8</v>
      </c>
      <c r="K192" s="8"/>
      <c r="L192" s="6"/>
      <c r="M192" s="6"/>
      <c r="N192" s="6"/>
    </row>
    <row r="193" spans="1:14" x14ac:dyDescent="0.45">
      <c r="A193" t="s">
        <v>275</v>
      </c>
      <c r="B193" s="4">
        <v>45314</v>
      </c>
      <c r="C193" t="s">
        <v>83</v>
      </c>
      <c r="D193" t="s">
        <v>28</v>
      </c>
      <c r="E193" t="s">
        <v>48</v>
      </c>
      <c r="F193" t="str">
        <f>_xlfn.XLOOKUP(C193,Salespeople!$A$2:$A$11,Salespeople!$C$2:$C$11)</f>
        <v>EMEA</v>
      </c>
      <c r="G193" t="str">
        <f>_xlfn.XLOOKUP(C193,Salespeople!$A$2:$A$11,Salespeople!$D$2:$D$11)</f>
        <v>United Arab Emirates</v>
      </c>
      <c r="H193" s="3">
        <v>23</v>
      </c>
      <c r="K193" s="8"/>
      <c r="L193" s="6"/>
      <c r="M193" s="6"/>
      <c r="N193" s="6"/>
    </row>
    <row r="194" spans="1:14" x14ac:dyDescent="0.45">
      <c r="A194" t="s">
        <v>276</v>
      </c>
      <c r="B194" s="4">
        <v>45489</v>
      </c>
      <c r="C194" t="s">
        <v>26</v>
      </c>
      <c r="D194" t="s">
        <v>103</v>
      </c>
      <c r="E194" t="s">
        <v>23</v>
      </c>
      <c r="F194" t="str">
        <f>_xlfn.XLOOKUP(C194,Salespeople!$A$2:$A$11,Salespeople!$C$2:$C$11)</f>
        <v>APAC</v>
      </c>
      <c r="G194" t="str">
        <f>_xlfn.XLOOKUP(C194,Salespeople!$A$2:$A$11,Salespeople!$D$2:$D$11)</f>
        <v>Singapore</v>
      </c>
      <c r="H194" s="3">
        <v>5</v>
      </c>
      <c r="K194" s="8"/>
      <c r="L194" s="6"/>
      <c r="M194" s="6"/>
      <c r="N194" s="6"/>
    </row>
    <row r="195" spans="1:14" x14ac:dyDescent="0.45">
      <c r="A195" t="s">
        <v>277</v>
      </c>
      <c r="B195" s="4">
        <v>45343</v>
      </c>
      <c r="C195" t="s">
        <v>60</v>
      </c>
      <c r="D195" t="s">
        <v>134</v>
      </c>
      <c r="E195" t="s">
        <v>14</v>
      </c>
      <c r="F195" t="str">
        <f>_xlfn.XLOOKUP(C195,Salespeople!$A$2:$A$11,Salespeople!$C$2:$C$11)</f>
        <v>APAC</v>
      </c>
      <c r="G195" t="str">
        <f>_xlfn.XLOOKUP(C195,Salespeople!$A$2:$A$11,Salespeople!$D$2:$D$11)</f>
        <v>Japan</v>
      </c>
      <c r="H195" s="3">
        <v>15</v>
      </c>
      <c r="K195" s="8"/>
      <c r="L195" s="6"/>
      <c r="M195" s="6"/>
      <c r="N195" s="6"/>
    </row>
    <row r="196" spans="1:14" x14ac:dyDescent="0.45">
      <c r="A196" t="s">
        <v>278</v>
      </c>
      <c r="B196" s="4">
        <v>45365</v>
      </c>
      <c r="C196" t="s">
        <v>33</v>
      </c>
      <c r="D196" t="s">
        <v>68</v>
      </c>
      <c r="E196" t="s">
        <v>14</v>
      </c>
      <c r="F196" t="str">
        <f>_xlfn.XLOOKUP(C196,Salespeople!$A$2:$A$11,Salespeople!$C$2:$C$11)</f>
        <v>EMEA</v>
      </c>
      <c r="G196" t="str">
        <f>_xlfn.XLOOKUP(C196,Salespeople!$A$2:$A$11,Salespeople!$D$2:$D$11)</f>
        <v>Kenya</v>
      </c>
      <c r="H196" s="3">
        <v>5</v>
      </c>
      <c r="K196" s="8"/>
      <c r="L196" s="6"/>
      <c r="M196" s="6"/>
      <c r="N196" s="6"/>
    </row>
    <row r="197" spans="1:14" x14ac:dyDescent="0.45">
      <c r="A197" t="s">
        <v>279</v>
      </c>
      <c r="B197" s="4">
        <v>45532</v>
      </c>
      <c r="C197" t="s">
        <v>66</v>
      </c>
      <c r="D197" t="s">
        <v>56</v>
      </c>
      <c r="E197" t="s">
        <v>14</v>
      </c>
      <c r="F197" t="str">
        <f>_xlfn.XLOOKUP(C197,Salespeople!$A$2:$A$11,Salespeople!$C$2:$C$11)</f>
        <v>Americas</v>
      </c>
      <c r="G197" t="str">
        <f>_xlfn.XLOOKUP(C197,Salespeople!$A$2:$A$11,Salespeople!$D$2:$D$11)</f>
        <v>United States</v>
      </c>
      <c r="H197" s="3">
        <v>23</v>
      </c>
      <c r="K197" s="8"/>
      <c r="L197" s="6"/>
      <c r="M197" s="6"/>
      <c r="N197" s="6"/>
    </row>
    <row r="198" spans="1:14" x14ac:dyDescent="0.45">
      <c r="A198" t="s">
        <v>280</v>
      </c>
      <c r="B198" s="4">
        <v>45624</v>
      </c>
      <c r="C198" t="s">
        <v>17</v>
      </c>
      <c r="D198" t="s">
        <v>68</v>
      </c>
      <c r="E198" t="s">
        <v>48</v>
      </c>
      <c r="F198" t="str">
        <f>_xlfn.XLOOKUP(C198,Salespeople!$A$2:$A$11,Salespeople!$C$2:$C$11)</f>
        <v>EMEA</v>
      </c>
      <c r="G198" t="str">
        <f>_xlfn.XLOOKUP(C198,Salespeople!$A$2:$A$11,Salespeople!$D$2:$D$11)</f>
        <v>Portugal</v>
      </c>
      <c r="H198" s="3">
        <v>22</v>
      </c>
      <c r="K198" s="8"/>
      <c r="L198" s="6"/>
      <c r="M198" s="6"/>
      <c r="N198" s="6"/>
    </row>
    <row r="199" spans="1:14" x14ac:dyDescent="0.45">
      <c r="A199" t="s">
        <v>281</v>
      </c>
      <c r="B199" s="4">
        <v>45454</v>
      </c>
      <c r="C199" t="s">
        <v>60</v>
      </c>
      <c r="D199" t="s">
        <v>68</v>
      </c>
      <c r="E199" t="s">
        <v>14</v>
      </c>
      <c r="F199" t="str">
        <f>_xlfn.XLOOKUP(C199,Salespeople!$A$2:$A$11,Salespeople!$C$2:$C$11)</f>
        <v>APAC</v>
      </c>
      <c r="G199" t="str">
        <f>_xlfn.XLOOKUP(C199,Salespeople!$A$2:$A$11,Salespeople!$D$2:$D$11)</f>
        <v>Japan</v>
      </c>
      <c r="H199" s="3">
        <v>2</v>
      </c>
      <c r="K199" s="8"/>
      <c r="L199" s="6"/>
      <c r="M199" s="6"/>
      <c r="N199" s="6"/>
    </row>
    <row r="200" spans="1:14" x14ac:dyDescent="0.45">
      <c r="A200" t="s">
        <v>282</v>
      </c>
      <c r="B200" s="4">
        <v>45412</v>
      </c>
      <c r="C200" t="s">
        <v>66</v>
      </c>
      <c r="D200" t="s">
        <v>88</v>
      </c>
      <c r="E200" t="s">
        <v>14</v>
      </c>
      <c r="F200" t="str">
        <f>_xlfn.XLOOKUP(C200,Salespeople!$A$2:$A$11,Salespeople!$C$2:$C$11)</f>
        <v>Americas</v>
      </c>
      <c r="G200" t="str">
        <f>_xlfn.XLOOKUP(C200,Salespeople!$A$2:$A$11,Salespeople!$D$2:$D$11)</f>
        <v>United States</v>
      </c>
      <c r="H200" s="3">
        <v>3</v>
      </c>
      <c r="K200" s="8"/>
      <c r="L200" s="6"/>
      <c r="M200" s="6"/>
      <c r="N200" s="6"/>
    </row>
    <row r="201" spans="1:14" x14ac:dyDescent="0.45">
      <c r="A201" t="s">
        <v>283</v>
      </c>
      <c r="B201" s="4">
        <v>45342</v>
      </c>
      <c r="C201" t="s">
        <v>17</v>
      </c>
      <c r="D201" t="s">
        <v>103</v>
      </c>
      <c r="E201" t="s">
        <v>23</v>
      </c>
      <c r="F201" t="str">
        <f>_xlfn.XLOOKUP(C201,Salespeople!$A$2:$A$11,Salespeople!$C$2:$C$11)</f>
        <v>EMEA</v>
      </c>
      <c r="G201" t="str">
        <f>_xlfn.XLOOKUP(C201,Salespeople!$A$2:$A$11,Salespeople!$D$2:$D$11)</f>
        <v>Portugal</v>
      </c>
      <c r="H201" s="3">
        <v>23</v>
      </c>
      <c r="K201" s="8"/>
      <c r="L201" s="6"/>
      <c r="M201" s="6"/>
      <c r="N201" s="6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CD9A-7B15-4504-9A72-129FE405EA4F}">
  <dimension ref="A1:O201"/>
  <sheetViews>
    <sheetView topLeftCell="A27" workbookViewId="0">
      <selection activeCell="K32" sqref="K32"/>
    </sheetView>
  </sheetViews>
  <sheetFormatPr defaultRowHeight="14.25" x14ac:dyDescent="0.45"/>
  <cols>
    <col min="1" max="1" width="9.86328125" bestFit="1" customWidth="1"/>
    <col min="2" max="2" width="10.19921875" bestFit="1" customWidth="1"/>
    <col min="3" max="3" width="12.265625" bestFit="1" customWidth="1"/>
    <col min="7" max="7" width="17.73046875" bestFit="1" customWidth="1"/>
    <col min="9" max="9" width="16.46484375" customWidth="1"/>
    <col min="12" max="12" width="9.6640625" style="5" bestFit="1" customWidth="1"/>
    <col min="13" max="13" width="11.53125" style="5" bestFit="1" customWidth="1"/>
    <col min="14" max="14" width="9.06640625" style="5"/>
    <col min="15" max="15" width="12" bestFit="1" customWidth="1"/>
  </cols>
  <sheetData>
    <row r="1" spans="1:15" ht="15.75" x14ac:dyDescent="0.5">
      <c r="A1" s="1" t="s">
        <v>0</v>
      </c>
      <c r="B1" s="11" t="s">
        <v>1</v>
      </c>
      <c r="C1" s="1" t="s">
        <v>5</v>
      </c>
      <c r="D1" s="1" t="s">
        <v>7</v>
      </c>
      <c r="E1" s="1" t="s">
        <v>2</v>
      </c>
      <c r="F1" s="1" t="s">
        <v>3</v>
      </c>
      <c r="G1" s="1" t="s">
        <v>4</v>
      </c>
      <c r="H1" s="10" t="s">
        <v>10</v>
      </c>
      <c r="I1" s="7"/>
      <c r="J1" s="7"/>
      <c r="K1" s="2"/>
      <c r="L1" s="7"/>
      <c r="M1" s="7"/>
      <c r="N1" s="7"/>
      <c r="O1" s="9"/>
    </row>
    <row r="2" spans="1:15" x14ac:dyDescent="0.45">
      <c r="A2" t="s">
        <v>13</v>
      </c>
      <c r="B2" s="4">
        <v>45619</v>
      </c>
      <c r="C2" t="s">
        <v>17</v>
      </c>
      <c r="D2" t="s">
        <v>19</v>
      </c>
      <c r="E2" t="s">
        <v>14</v>
      </c>
      <c r="F2" t="str">
        <f>_xlfn.XLOOKUP(C2,Salespeople!$A$2:$A$11,Salespeople!$C$2:$C$11)</f>
        <v>EMEA</v>
      </c>
      <c r="G2" t="str">
        <f>_xlfn.XLOOKUP(C2,Salespeople!$A$2:$A$11,Salespeople!$D$2:$D$11)</f>
        <v>Portugal</v>
      </c>
      <c r="H2" s="3">
        <v>9</v>
      </c>
      <c r="I2" s="5"/>
      <c r="J2" s="5"/>
      <c r="K2" s="8"/>
      <c r="O2" s="8"/>
    </row>
    <row r="3" spans="1:15" x14ac:dyDescent="0.45">
      <c r="A3" t="s">
        <v>22</v>
      </c>
      <c r="B3" s="4">
        <v>45406</v>
      </c>
      <c r="C3" t="s">
        <v>26</v>
      </c>
      <c r="D3" t="s">
        <v>28</v>
      </c>
      <c r="E3" t="s">
        <v>23</v>
      </c>
      <c r="F3" t="str">
        <f>_xlfn.XLOOKUP(C3,Salespeople!$A$2:$A$11,Salespeople!$C$2:$C$11)</f>
        <v>APAC</v>
      </c>
      <c r="G3" t="str">
        <f>_xlfn.XLOOKUP(C3,Salespeople!$A$2:$A$11,Salespeople!$D$2:$D$11)</f>
        <v>Singapore</v>
      </c>
      <c r="H3" s="3">
        <v>22</v>
      </c>
      <c r="I3" s="5"/>
      <c r="J3" s="5"/>
      <c r="K3" s="8"/>
      <c r="O3" s="8"/>
    </row>
    <row r="4" spans="1:15" x14ac:dyDescent="0.45">
      <c r="A4" t="s">
        <v>31</v>
      </c>
      <c r="B4" s="4">
        <v>45594</v>
      </c>
      <c r="C4" t="s">
        <v>33</v>
      </c>
      <c r="D4" t="s">
        <v>19</v>
      </c>
      <c r="E4" t="s">
        <v>23</v>
      </c>
      <c r="F4" t="str">
        <f>_xlfn.XLOOKUP(C4,Salespeople!$A$2:$A$11,Salespeople!$C$2:$C$11)</f>
        <v>EMEA</v>
      </c>
      <c r="G4" t="str">
        <f>_xlfn.XLOOKUP(C4,Salespeople!$A$2:$A$11,Salespeople!$D$2:$D$11)</f>
        <v>Kenya</v>
      </c>
      <c r="H4" s="3">
        <v>3</v>
      </c>
      <c r="I4" s="5"/>
      <c r="J4" s="5"/>
      <c r="K4" s="8"/>
      <c r="O4" s="8"/>
    </row>
    <row r="5" spans="1:15" x14ac:dyDescent="0.45">
      <c r="A5" t="s">
        <v>35</v>
      </c>
      <c r="B5" s="4">
        <v>45411</v>
      </c>
      <c r="C5" t="s">
        <v>38</v>
      </c>
      <c r="D5" t="s">
        <v>40</v>
      </c>
      <c r="E5" t="s">
        <v>23</v>
      </c>
      <c r="F5" t="str">
        <f>_xlfn.XLOOKUP(C5,Salespeople!$A$2:$A$11,Salespeople!$C$2:$C$11)</f>
        <v>Americas</v>
      </c>
      <c r="G5" t="str">
        <f>_xlfn.XLOOKUP(C5,Salespeople!$A$2:$A$11,Salespeople!$D$2:$D$11)</f>
        <v>Brazil</v>
      </c>
      <c r="H5" s="3">
        <v>18</v>
      </c>
      <c r="I5" s="5"/>
      <c r="J5" s="5"/>
      <c r="K5" s="8"/>
      <c r="O5" s="8"/>
    </row>
    <row r="6" spans="1:15" x14ac:dyDescent="0.45">
      <c r="A6" t="s">
        <v>43</v>
      </c>
      <c r="B6" s="4">
        <v>45624</v>
      </c>
      <c r="C6" t="s">
        <v>38</v>
      </c>
      <c r="D6" t="s">
        <v>44</v>
      </c>
      <c r="E6" t="s">
        <v>23</v>
      </c>
      <c r="F6" t="str">
        <f>_xlfn.XLOOKUP(C6,Salespeople!$A$2:$A$11,Salespeople!$C$2:$C$11)</f>
        <v>Americas</v>
      </c>
      <c r="G6" t="str">
        <f>_xlfn.XLOOKUP(C6,Salespeople!$A$2:$A$11,Salespeople!$D$2:$D$11)</f>
        <v>Brazil</v>
      </c>
      <c r="H6" s="3">
        <v>15</v>
      </c>
      <c r="I6" s="5"/>
      <c r="J6" s="5"/>
      <c r="K6" s="8"/>
      <c r="O6" s="8"/>
    </row>
    <row r="7" spans="1:15" x14ac:dyDescent="0.45">
      <c r="A7" t="s">
        <v>47</v>
      </c>
      <c r="B7" s="4">
        <v>45295</v>
      </c>
      <c r="C7" t="s">
        <v>26</v>
      </c>
      <c r="D7" t="s">
        <v>28</v>
      </c>
      <c r="E7" t="s">
        <v>48</v>
      </c>
      <c r="F7" t="str">
        <f>_xlfn.XLOOKUP(C7,Salespeople!$A$2:$A$11,Salespeople!$C$2:$C$11)</f>
        <v>APAC</v>
      </c>
      <c r="G7" t="str">
        <f>_xlfn.XLOOKUP(C7,Salespeople!$A$2:$A$11,Salespeople!$D$2:$D$11)</f>
        <v>Singapore</v>
      </c>
      <c r="H7" s="3">
        <v>11</v>
      </c>
      <c r="I7" s="5"/>
      <c r="J7" s="5"/>
      <c r="K7" s="8"/>
      <c r="O7" s="8"/>
    </row>
    <row r="8" spans="1:15" x14ac:dyDescent="0.45">
      <c r="A8" t="s">
        <v>49</v>
      </c>
      <c r="B8" s="4">
        <v>45371</v>
      </c>
      <c r="C8" t="s">
        <v>51</v>
      </c>
      <c r="D8" t="s">
        <v>53</v>
      </c>
      <c r="E8" t="s">
        <v>48</v>
      </c>
      <c r="F8" t="str">
        <f>_xlfn.XLOOKUP(C8,Salespeople!$A$2:$A$11,Salespeople!$C$2:$C$11)</f>
        <v>Americas</v>
      </c>
      <c r="G8" t="str">
        <f>_xlfn.XLOOKUP(C8,Salespeople!$A$2:$A$11,Salespeople!$D$2:$D$11)</f>
        <v>Mexico</v>
      </c>
      <c r="H8" s="3">
        <v>4</v>
      </c>
      <c r="I8" s="5"/>
      <c r="J8" s="5"/>
      <c r="K8" s="8"/>
      <c r="O8" s="8"/>
    </row>
    <row r="9" spans="1:15" x14ac:dyDescent="0.45">
      <c r="A9" t="s">
        <v>55</v>
      </c>
      <c r="B9" s="4">
        <v>45486</v>
      </c>
      <c r="C9" t="s">
        <v>17</v>
      </c>
      <c r="D9" t="s">
        <v>56</v>
      </c>
      <c r="E9" t="s">
        <v>48</v>
      </c>
      <c r="F9" t="str">
        <f>_xlfn.XLOOKUP(C9,Salespeople!$A$2:$A$11,Salespeople!$C$2:$C$11)</f>
        <v>EMEA</v>
      </c>
      <c r="G9" t="str">
        <f>_xlfn.XLOOKUP(C9,Salespeople!$A$2:$A$11,Salespeople!$D$2:$D$11)</f>
        <v>Portugal</v>
      </c>
      <c r="H9" s="3">
        <v>20</v>
      </c>
      <c r="I9" s="5"/>
      <c r="J9" s="5"/>
      <c r="K9" s="8"/>
      <c r="O9" s="8"/>
    </row>
    <row r="10" spans="1:15" x14ac:dyDescent="0.45">
      <c r="A10" t="s">
        <v>58</v>
      </c>
      <c r="B10" s="4">
        <v>45314</v>
      </c>
      <c r="C10" t="s">
        <v>60</v>
      </c>
      <c r="D10" t="s">
        <v>62</v>
      </c>
      <c r="E10" t="s">
        <v>23</v>
      </c>
      <c r="F10" t="str">
        <f>_xlfn.XLOOKUP(C10,Salespeople!$A$2:$A$11,Salespeople!$C$2:$C$11)</f>
        <v>APAC</v>
      </c>
      <c r="G10" t="str">
        <f>_xlfn.XLOOKUP(C10,Salespeople!$A$2:$A$11,Salespeople!$D$2:$D$11)</f>
        <v>Japan</v>
      </c>
      <c r="H10" s="3">
        <v>13</v>
      </c>
      <c r="I10" s="5"/>
      <c r="J10" s="5"/>
      <c r="K10" s="8"/>
      <c r="O10" s="8"/>
    </row>
    <row r="11" spans="1:15" x14ac:dyDescent="0.45">
      <c r="A11" t="s">
        <v>64</v>
      </c>
      <c r="B11" s="4">
        <v>45574</v>
      </c>
      <c r="C11" t="s">
        <v>66</v>
      </c>
      <c r="D11" t="s">
        <v>68</v>
      </c>
      <c r="E11" t="s">
        <v>14</v>
      </c>
      <c r="F11" t="str">
        <f>_xlfn.XLOOKUP(C11,Salespeople!$A$2:$A$11,Salespeople!$C$2:$C$11)</f>
        <v>Americas</v>
      </c>
      <c r="G11" t="str">
        <f>_xlfn.XLOOKUP(C11,Salespeople!$A$2:$A$11,Salespeople!$D$2:$D$11)</f>
        <v>United States</v>
      </c>
      <c r="H11" s="3">
        <v>20</v>
      </c>
      <c r="I11" s="5"/>
      <c r="J11" s="5"/>
      <c r="K11" s="8"/>
      <c r="O11" s="8"/>
    </row>
    <row r="12" spans="1:15" x14ac:dyDescent="0.45">
      <c r="A12" t="s">
        <v>71</v>
      </c>
      <c r="B12" s="4">
        <v>45587</v>
      </c>
      <c r="C12" t="s">
        <v>51</v>
      </c>
      <c r="D12" t="s">
        <v>28</v>
      </c>
      <c r="E12" t="s">
        <v>23</v>
      </c>
      <c r="F12" t="str">
        <f>_xlfn.XLOOKUP(C12,Salespeople!$A$2:$A$11,Salespeople!$C$2:$C$11)</f>
        <v>Americas</v>
      </c>
      <c r="G12" t="str">
        <f>_xlfn.XLOOKUP(C12,Salespeople!$A$2:$A$11,Salespeople!$D$2:$D$11)</f>
        <v>Mexico</v>
      </c>
      <c r="H12" s="3">
        <v>2</v>
      </c>
      <c r="I12" s="5"/>
      <c r="J12" s="5"/>
      <c r="K12" s="8"/>
      <c r="O12" s="8"/>
    </row>
    <row r="13" spans="1:15" x14ac:dyDescent="0.45">
      <c r="A13" t="s">
        <v>72</v>
      </c>
      <c r="B13" s="4">
        <v>45440</v>
      </c>
      <c r="C13" t="s">
        <v>17</v>
      </c>
      <c r="D13" t="s">
        <v>68</v>
      </c>
      <c r="E13" t="s">
        <v>23</v>
      </c>
      <c r="F13" t="str">
        <f>_xlfn.XLOOKUP(C13,Salespeople!$A$2:$A$11,Salespeople!$C$2:$C$11)</f>
        <v>EMEA</v>
      </c>
      <c r="G13" t="str">
        <f>_xlfn.XLOOKUP(C13,Salespeople!$A$2:$A$11,Salespeople!$D$2:$D$11)</f>
        <v>Portugal</v>
      </c>
      <c r="H13" s="3">
        <v>4</v>
      </c>
      <c r="I13" s="5"/>
      <c r="J13" s="5"/>
      <c r="K13" s="8"/>
      <c r="O13" s="8"/>
    </row>
    <row r="14" spans="1:15" x14ac:dyDescent="0.45">
      <c r="A14" t="s">
        <v>73</v>
      </c>
      <c r="B14" s="4">
        <v>45434</v>
      </c>
      <c r="C14" t="s">
        <v>60</v>
      </c>
      <c r="D14" t="s">
        <v>74</v>
      </c>
      <c r="E14" t="s">
        <v>48</v>
      </c>
      <c r="F14" t="str">
        <f>_xlfn.XLOOKUP(C14,Salespeople!$A$2:$A$11,Salespeople!$C$2:$C$11)</f>
        <v>APAC</v>
      </c>
      <c r="G14" t="str">
        <f>_xlfn.XLOOKUP(C14,Salespeople!$A$2:$A$11,Salespeople!$D$2:$D$11)</f>
        <v>Japan</v>
      </c>
      <c r="H14" s="3">
        <v>6</v>
      </c>
      <c r="I14" s="5"/>
      <c r="J14" s="5"/>
      <c r="K14" s="8"/>
      <c r="O14" s="8"/>
    </row>
    <row r="15" spans="1:15" x14ac:dyDescent="0.45">
      <c r="A15" t="s">
        <v>76</v>
      </c>
      <c r="B15" s="4">
        <v>45473</v>
      </c>
      <c r="C15" t="s">
        <v>51</v>
      </c>
      <c r="D15" t="s">
        <v>74</v>
      </c>
      <c r="E15" t="s">
        <v>48</v>
      </c>
      <c r="F15" t="str">
        <f>_xlfn.XLOOKUP(C15,Salespeople!$A$2:$A$11,Salespeople!$C$2:$C$11)</f>
        <v>Americas</v>
      </c>
      <c r="G15" t="str">
        <f>_xlfn.XLOOKUP(C15,Salespeople!$A$2:$A$11,Salespeople!$D$2:$D$11)</f>
        <v>Mexico</v>
      </c>
      <c r="H15" s="3">
        <v>23</v>
      </c>
      <c r="I15" s="5"/>
      <c r="J15" s="5"/>
      <c r="K15" s="8"/>
      <c r="O15" s="8"/>
    </row>
    <row r="16" spans="1:15" x14ac:dyDescent="0.45">
      <c r="A16" t="s">
        <v>77</v>
      </c>
      <c r="B16" s="4">
        <v>45603</v>
      </c>
      <c r="C16" t="s">
        <v>26</v>
      </c>
      <c r="D16" t="s">
        <v>62</v>
      </c>
      <c r="E16" t="s">
        <v>14</v>
      </c>
      <c r="F16" t="str">
        <f>_xlfn.XLOOKUP(C16,Salespeople!$A$2:$A$11,Salespeople!$C$2:$C$11)</f>
        <v>APAC</v>
      </c>
      <c r="G16" t="str">
        <f>_xlfn.XLOOKUP(C16,Salespeople!$A$2:$A$11,Salespeople!$D$2:$D$11)</f>
        <v>Singapore</v>
      </c>
      <c r="H16" s="3">
        <v>8</v>
      </c>
      <c r="I16" s="5"/>
      <c r="J16" s="5"/>
      <c r="K16" s="8"/>
      <c r="O16" s="8"/>
    </row>
    <row r="17" spans="1:15" x14ac:dyDescent="0.45">
      <c r="A17" t="s">
        <v>78</v>
      </c>
      <c r="B17" s="4">
        <v>45528</v>
      </c>
      <c r="C17" t="s">
        <v>33</v>
      </c>
      <c r="D17" t="s">
        <v>79</v>
      </c>
      <c r="E17" t="s">
        <v>14</v>
      </c>
      <c r="F17" t="str">
        <f>_xlfn.XLOOKUP(C17,Salespeople!$A$2:$A$11,Salespeople!$C$2:$C$11)</f>
        <v>EMEA</v>
      </c>
      <c r="G17" t="str">
        <f>_xlfn.XLOOKUP(C17,Salespeople!$A$2:$A$11,Salespeople!$D$2:$D$11)</f>
        <v>Kenya</v>
      </c>
      <c r="H17" s="3">
        <v>23</v>
      </c>
      <c r="I17" s="5"/>
      <c r="J17" s="5"/>
      <c r="K17" s="8"/>
      <c r="O17" s="8"/>
    </row>
    <row r="18" spans="1:15" x14ac:dyDescent="0.45">
      <c r="A18" t="s">
        <v>81</v>
      </c>
      <c r="B18" s="4">
        <v>45642</v>
      </c>
      <c r="C18" t="s">
        <v>83</v>
      </c>
      <c r="D18" t="s">
        <v>68</v>
      </c>
      <c r="E18" t="s">
        <v>23</v>
      </c>
      <c r="F18" t="str">
        <f>_xlfn.XLOOKUP(C18,Salespeople!$A$2:$A$11,Salespeople!$C$2:$C$11)</f>
        <v>EMEA</v>
      </c>
      <c r="G18" t="str">
        <f>_xlfn.XLOOKUP(C18,Salespeople!$A$2:$A$11,Salespeople!$D$2:$D$11)</f>
        <v>United Arab Emirates</v>
      </c>
      <c r="H18" s="3">
        <v>8</v>
      </c>
      <c r="I18" s="5"/>
      <c r="J18" s="5"/>
      <c r="K18" s="8"/>
      <c r="O18" s="8"/>
    </row>
    <row r="19" spans="1:15" x14ac:dyDescent="0.45">
      <c r="A19" t="s">
        <v>85</v>
      </c>
      <c r="B19" s="4">
        <v>45453</v>
      </c>
      <c r="C19" t="s">
        <v>33</v>
      </c>
      <c r="D19" t="s">
        <v>79</v>
      </c>
      <c r="E19" t="s">
        <v>23</v>
      </c>
      <c r="F19" t="str">
        <f>_xlfn.XLOOKUP(C19,Salespeople!$A$2:$A$11,Salespeople!$C$2:$C$11)</f>
        <v>EMEA</v>
      </c>
      <c r="G19" t="str">
        <f>_xlfn.XLOOKUP(C19,Salespeople!$A$2:$A$11,Salespeople!$D$2:$D$11)</f>
        <v>Kenya</v>
      </c>
      <c r="H19" s="3">
        <v>7</v>
      </c>
      <c r="I19" s="5"/>
      <c r="J19" s="5"/>
      <c r="K19" s="8"/>
      <c r="O19" s="8"/>
    </row>
    <row r="20" spans="1:15" x14ac:dyDescent="0.45">
      <c r="A20" t="s">
        <v>86</v>
      </c>
      <c r="B20" s="4">
        <v>45400</v>
      </c>
      <c r="C20" t="s">
        <v>60</v>
      </c>
      <c r="D20" t="s">
        <v>44</v>
      </c>
      <c r="E20" t="s">
        <v>14</v>
      </c>
      <c r="F20" t="str">
        <f>_xlfn.XLOOKUP(C20,Salespeople!$A$2:$A$11,Salespeople!$C$2:$C$11)</f>
        <v>APAC</v>
      </c>
      <c r="G20" t="str">
        <f>_xlfn.XLOOKUP(C20,Salespeople!$A$2:$A$11,Salespeople!$D$2:$D$11)</f>
        <v>Japan</v>
      </c>
      <c r="H20" s="3">
        <v>15</v>
      </c>
      <c r="I20" s="5"/>
      <c r="J20" s="5"/>
      <c r="K20" s="8"/>
      <c r="O20" s="8"/>
    </row>
    <row r="21" spans="1:15" x14ac:dyDescent="0.45">
      <c r="A21" t="s">
        <v>87</v>
      </c>
      <c r="B21" s="4">
        <v>45427</v>
      </c>
      <c r="C21" t="s">
        <v>26</v>
      </c>
      <c r="D21" t="s">
        <v>88</v>
      </c>
      <c r="E21" t="s">
        <v>14</v>
      </c>
      <c r="F21" t="str">
        <f>_xlfn.XLOOKUP(C21,Salespeople!$A$2:$A$11,Salespeople!$C$2:$C$11)</f>
        <v>APAC</v>
      </c>
      <c r="G21" t="str">
        <f>_xlfn.XLOOKUP(C21,Salespeople!$A$2:$A$11,Salespeople!$D$2:$D$11)</f>
        <v>Singapore</v>
      </c>
      <c r="H21" s="3">
        <v>18</v>
      </c>
      <c r="I21" s="5"/>
      <c r="J21" s="5"/>
      <c r="K21" s="8"/>
      <c r="O21" s="8"/>
    </row>
    <row r="22" spans="1:15" x14ac:dyDescent="0.45">
      <c r="A22" t="s">
        <v>90</v>
      </c>
      <c r="B22" s="4">
        <v>45591</v>
      </c>
      <c r="C22" t="s">
        <v>33</v>
      </c>
      <c r="D22" t="s">
        <v>91</v>
      </c>
      <c r="E22" t="s">
        <v>14</v>
      </c>
      <c r="F22" t="str">
        <f>_xlfn.XLOOKUP(C22,Salespeople!$A$2:$A$11,Salespeople!$C$2:$C$11)</f>
        <v>EMEA</v>
      </c>
      <c r="G22" t="str">
        <f>_xlfn.XLOOKUP(C22,Salespeople!$A$2:$A$11,Salespeople!$D$2:$D$11)</f>
        <v>Kenya</v>
      </c>
      <c r="H22" s="3">
        <v>13</v>
      </c>
      <c r="I22" s="5"/>
      <c r="J22" s="5"/>
      <c r="K22" s="8"/>
      <c r="O22" s="8"/>
    </row>
    <row r="23" spans="1:15" x14ac:dyDescent="0.45">
      <c r="A23" t="s">
        <v>93</v>
      </c>
      <c r="B23" s="4">
        <v>45404</v>
      </c>
      <c r="C23" t="s">
        <v>26</v>
      </c>
      <c r="D23" t="s">
        <v>62</v>
      </c>
      <c r="E23" t="s">
        <v>48</v>
      </c>
      <c r="F23" t="str">
        <f>_xlfn.XLOOKUP(C23,Salespeople!$A$2:$A$11,Salespeople!$C$2:$C$11)</f>
        <v>APAC</v>
      </c>
      <c r="G23" t="str">
        <f>_xlfn.XLOOKUP(C23,Salespeople!$A$2:$A$11,Salespeople!$D$2:$D$11)</f>
        <v>Singapore</v>
      </c>
      <c r="H23" s="3">
        <v>3</v>
      </c>
      <c r="I23" s="5"/>
      <c r="J23" s="5"/>
      <c r="K23" s="8"/>
      <c r="O23" s="8"/>
    </row>
    <row r="24" spans="1:15" x14ac:dyDescent="0.45">
      <c r="A24" t="s">
        <v>94</v>
      </c>
      <c r="B24" s="4">
        <v>45348</v>
      </c>
      <c r="C24" t="s">
        <v>26</v>
      </c>
      <c r="D24" t="s">
        <v>74</v>
      </c>
      <c r="E24" t="s">
        <v>23</v>
      </c>
      <c r="F24" t="str">
        <f>_xlfn.XLOOKUP(C24,Salespeople!$A$2:$A$11,Salespeople!$C$2:$C$11)</f>
        <v>APAC</v>
      </c>
      <c r="G24" t="str">
        <f>_xlfn.XLOOKUP(C24,Salespeople!$A$2:$A$11,Salespeople!$D$2:$D$11)</f>
        <v>Singapore</v>
      </c>
      <c r="H24" s="3">
        <v>22</v>
      </c>
      <c r="I24" s="5"/>
      <c r="J24" s="5"/>
      <c r="K24" s="8"/>
      <c r="O24" s="8"/>
    </row>
    <row r="25" spans="1:15" x14ac:dyDescent="0.45">
      <c r="A25" t="s">
        <v>95</v>
      </c>
      <c r="B25" s="4">
        <v>45597</v>
      </c>
      <c r="C25" t="s">
        <v>17</v>
      </c>
      <c r="D25" t="s">
        <v>44</v>
      </c>
      <c r="E25" t="s">
        <v>48</v>
      </c>
      <c r="F25" t="str">
        <f>_xlfn.XLOOKUP(C25,Salespeople!$A$2:$A$11,Salespeople!$C$2:$C$11)</f>
        <v>EMEA</v>
      </c>
      <c r="G25" t="str">
        <f>_xlfn.XLOOKUP(C25,Salespeople!$A$2:$A$11,Salespeople!$D$2:$D$11)</f>
        <v>Portugal</v>
      </c>
      <c r="H25" s="3">
        <v>20</v>
      </c>
      <c r="I25" s="5"/>
      <c r="J25" s="5"/>
      <c r="K25" s="8"/>
      <c r="O25" s="8"/>
    </row>
    <row r="26" spans="1:15" x14ac:dyDescent="0.45">
      <c r="A26" t="s">
        <v>96</v>
      </c>
      <c r="B26" s="4">
        <v>45562</v>
      </c>
      <c r="C26" t="s">
        <v>66</v>
      </c>
      <c r="D26" t="s">
        <v>62</v>
      </c>
      <c r="E26" t="s">
        <v>23</v>
      </c>
      <c r="F26" t="str">
        <f>_xlfn.XLOOKUP(C26,Salespeople!$A$2:$A$11,Salespeople!$C$2:$C$11)</f>
        <v>Americas</v>
      </c>
      <c r="G26" t="str">
        <f>_xlfn.XLOOKUP(C26,Salespeople!$A$2:$A$11,Salespeople!$D$2:$D$11)</f>
        <v>United States</v>
      </c>
      <c r="H26" s="3">
        <v>22</v>
      </c>
      <c r="I26" s="5"/>
      <c r="J26" s="5"/>
      <c r="K26" s="8"/>
      <c r="O26" s="8"/>
    </row>
    <row r="27" spans="1:15" x14ac:dyDescent="0.45">
      <c r="A27" t="s">
        <v>97</v>
      </c>
      <c r="B27" s="4">
        <v>45641</v>
      </c>
      <c r="C27" t="s">
        <v>38</v>
      </c>
      <c r="D27" t="s">
        <v>53</v>
      </c>
      <c r="E27" t="s">
        <v>48</v>
      </c>
      <c r="F27" t="str">
        <f>_xlfn.XLOOKUP(C27,Salespeople!$A$2:$A$11,Salespeople!$C$2:$C$11)</f>
        <v>Americas</v>
      </c>
      <c r="G27" t="str">
        <f>_xlfn.XLOOKUP(C27,Salespeople!$A$2:$A$11,Salespeople!$D$2:$D$11)</f>
        <v>Brazil</v>
      </c>
      <c r="H27" s="3">
        <v>25</v>
      </c>
      <c r="I27" s="5"/>
      <c r="J27" s="5"/>
      <c r="K27" s="8"/>
      <c r="O27" s="8"/>
    </row>
    <row r="28" spans="1:15" x14ac:dyDescent="0.45">
      <c r="A28" t="s">
        <v>98</v>
      </c>
      <c r="B28" s="4">
        <v>45349</v>
      </c>
      <c r="C28" t="s">
        <v>66</v>
      </c>
      <c r="D28" t="s">
        <v>44</v>
      </c>
      <c r="E28" t="s">
        <v>23</v>
      </c>
      <c r="F28" t="str">
        <f>_xlfn.XLOOKUP(C28,Salespeople!$A$2:$A$11,Salespeople!$C$2:$C$11)</f>
        <v>Americas</v>
      </c>
      <c r="G28" t="str">
        <f>_xlfn.XLOOKUP(C28,Salespeople!$A$2:$A$11,Salespeople!$D$2:$D$11)</f>
        <v>United States</v>
      </c>
      <c r="H28" s="3">
        <v>15</v>
      </c>
      <c r="I28" s="5"/>
      <c r="J28" s="5"/>
      <c r="K28" s="8"/>
      <c r="O28" s="8"/>
    </row>
    <row r="29" spans="1:15" x14ac:dyDescent="0.45">
      <c r="A29" t="s">
        <v>99</v>
      </c>
      <c r="B29" s="4">
        <v>45426</v>
      </c>
      <c r="C29" t="s">
        <v>38</v>
      </c>
      <c r="D29" t="s">
        <v>53</v>
      </c>
      <c r="E29" t="s">
        <v>23</v>
      </c>
      <c r="F29" t="str">
        <f>_xlfn.XLOOKUP(C29,Salespeople!$A$2:$A$11,Salespeople!$C$2:$C$11)</f>
        <v>Americas</v>
      </c>
      <c r="G29" t="str">
        <f>_xlfn.XLOOKUP(C29,Salespeople!$A$2:$A$11,Salespeople!$D$2:$D$11)</f>
        <v>Brazil</v>
      </c>
      <c r="H29" s="3">
        <v>17</v>
      </c>
      <c r="I29" s="5"/>
      <c r="J29" s="5"/>
      <c r="K29" s="8"/>
      <c r="O29" s="8"/>
    </row>
    <row r="30" spans="1:15" x14ac:dyDescent="0.45">
      <c r="A30" t="s">
        <v>100</v>
      </c>
      <c r="B30" s="4">
        <v>45612</v>
      </c>
      <c r="C30" t="s">
        <v>66</v>
      </c>
      <c r="D30" t="s">
        <v>68</v>
      </c>
      <c r="E30" t="s">
        <v>14</v>
      </c>
      <c r="F30" t="str">
        <f>_xlfn.XLOOKUP(C30,Salespeople!$A$2:$A$11,Salespeople!$C$2:$C$11)</f>
        <v>Americas</v>
      </c>
      <c r="G30" t="str">
        <f>_xlfn.XLOOKUP(C30,Salespeople!$A$2:$A$11,Salespeople!$D$2:$D$11)</f>
        <v>United States</v>
      </c>
      <c r="H30" s="3">
        <v>17</v>
      </c>
      <c r="I30" s="5"/>
      <c r="J30" s="5"/>
      <c r="K30" s="8"/>
      <c r="O30" s="8"/>
    </row>
    <row r="31" spans="1:15" x14ac:dyDescent="0.45">
      <c r="A31" t="s">
        <v>101</v>
      </c>
      <c r="B31" s="4">
        <v>45370</v>
      </c>
      <c r="C31" t="s">
        <v>83</v>
      </c>
      <c r="D31" t="s">
        <v>53</v>
      </c>
      <c r="E31" t="s">
        <v>23</v>
      </c>
      <c r="F31" t="str">
        <f>_xlfn.XLOOKUP(C31,Salespeople!$A$2:$A$11,Salespeople!$C$2:$C$11)</f>
        <v>EMEA</v>
      </c>
      <c r="G31" t="str">
        <f>_xlfn.XLOOKUP(C31,Salespeople!$A$2:$A$11,Salespeople!$D$2:$D$11)</f>
        <v>United Arab Emirates</v>
      </c>
      <c r="H31" s="3">
        <v>18</v>
      </c>
      <c r="I31" s="5"/>
      <c r="J31" s="5"/>
      <c r="K31" s="8"/>
      <c r="O31" s="8"/>
    </row>
    <row r="32" spans="1:15" x14ac:dyDescent="0.45">
      <c r="A32" t="s">
        <v>102</v>
      </c>
      <c r="B32" s="4">
        <v>45598</v>
      </c>
      <c r="C32" t="s">
        <v>83</v>
      </c>
      <c r="D32" t="s">
        <v>103</v>
      </c>
      <c r="E32" t="s">
        <v>23</v>
      </c>
      <c r="F32" t="str">
        <f>_xlfn.XLOOKUP(C32,Salespeople!$A$2:$A$11,Salespeople!$C$2:$C$11)</f>
        <v>EMEA</v>
      </c>
      <c r="G32" t="str">
        <f>_xlfn.XLOOKUP(C32,Salespeople!$A$2:$A$11,Salespeople!$D$2:$D$11)</f>
        <v>United Arab Emirates</v>
      </c>
      <c r="H32" s="3">
        <v>4</v>
      </c>
      <c r="I32" s="5"/>
      <c r="J32" s="5"/>
      <c r="K32" s="8"/>
      <c r="O32" s="8"/>
    </row>
    <row r="33" spans="1:15" x14ac:dyDescent="0.45">
      <c r="A33" t="s">
        <v>105</v>
      </c>
      <c r="B33" s="4">
        <v>45449</v>
      </c>
      <c r="C33" t="s">
        <v>51</v>
      </c>
      <c r="D33" t="s">
        <v>19</v>
      </c>
      <c r="E33" t="s">
        <v>23</v>
      </c>
      <c r="F33" t="str">
        <f>_xlfn.XLOOKUP(C33,Salespeople!$A$2:$A$11,Salespeople!$C$2:$C$11)</f>
        <v>Americas</v>
      </c>
      <c r="G33" t="str">
        <f>_xlfn.XLOOKUP(C33,Salespeople!$A$2:$A$11,Salespeople!$D$2:$D$11)</f>
        <v>Mexico</v>
      </c>
      <c r="H33" s="3">
        <v>19</v>
      </c>
      <c r="I33" s="5"/>
      <c r="J33" s="5"/>
      <c r="K33" s="8"/>
      <c r="O33" s="8"/>
    </row>
    <row r="34" spans="1:15" x14ac:dyDescent="0.45">
      <c r="A34" t="s">
        <v>106</v>
      </c>
      <c r="B34" s="4">
        <v>45335</v>
      </c>
      <c r="C34" t="s">
        <v>60</v>
      </c>
      <c r="D34" t="s">
        <v>68</v>
      </c>
      <c r="E34" t="s">
        <v>23</v>
      </c>
      <c r="F34" t="str">
        <f>_xlfn.XLOOKUP(C34,Salespeople!$A$2:$A$11,Salespeople!$C$2:$C$11)</f>
        <v>APAC</v>
      </c>
      <c r="G34" t="str">
        <f>_xlfn.XLOOKUP(C34,Salespeople!$A$2:$A$11,Salespeople!$D$2:$D$11)</f>
        <v>Japan</v>
      </c>
      <c r="H34" s="3">
        <v>25</v>
      </c>
      <c r="I34" s="5"/>
      <c r="J34" s="5"/>
      <c r="K34" s="8"/>
      <c r="O34" s="8"/>
    </row>
    <row r="35" spans="1:15" x14ac:dyDescent="0.45">
      <c r="A35" t="s">
        <v>107</v>
      </c>
      <c r="B35" s="4">
        <v>45357</v>
      </c>
      <c r="C35" t="s">
        <v>60</v>
      </c>
      <c r="D35" t="s">
        <v>62</v>
      </c>
      <c r="E35" t="s">
        <v>23</v>
      </c>
      <c r="F35" t="str">
        <f>_xlfn.XLOOKUP(C35,Salespeople!$A$2:$A$11,Salespeople!$C$2:$C$11)</f>
        <v>APAC</v>
      </c>
      <c r="G35" t="str">
        <f>_xlfn.XLOOKUP(C35,Salespeople!$A$2:$A$11,Salespeople!$D$2:$D$11)</f>
        <v>Japan</v>
      </c>
      <c r="H35" s="3">
        <v>9</v>
      </c>
      <c r="I35" s="5"/>
      <c r="J35" s="5"/>
      <c r="K35" s="8"/>
      <c r="O35" s="8"/>
    </row>
    <row r="36" spans="1:15" x14ac:dyDescent="0.45">
      <c r="A36" t="s">
        <v>108</v>
      </c>
      <c r="B36" s="4">
        <v>45400</v>
      </c>
      <c r="C36" t="s">
        <v>38</v>
      </c>
      <c r="D36" t="s">
        <v>53</v>
      </c>
      <c r="E36" t="s">
        <v>14</v>
      </c>
      <c r="F36" t="str">
        <f>_xlfn.XLOOKUP(C36,Salespeople!$A$2:$A$11,Salespeople!$C$2:$C$11)</f>
        <v>Americas</v>
      </c>
      <c r="G36" t="str">
        <f>_xlfn.XLOOKUP(C36,Salespeople!$A$2:$A$11,Salespeople!$D$2:$D$11)</f>
        <v>Brazil</v>
      </c>
      <c r="H36" s="3">
        <v>23</v>
      </c>
      <c r="I36" s="5"/>
      <c r="J36" s="5"/>
      <c r="K36" s="8"/>
      <c r="O36" s="8"/>
    </row>
    <row r="37" spans="1:15" x14ac:dyDescent="0.45">
      <c r="A37" t="s">
        <v>109</v>
      </c>
      <c r="B37" s="4">
        <v>45657</v>
      </c>
      <c r="C37" t="s">
        <v>66</v>
      </c>
      <c r="D37" t="s">
        <v>44</v>
      </c>
      <c r="E37" t="s">
        <v>14</v>
      </c>
      <c r="F37" t="str">
        <f>_xlfn.XLOOKUP(C37,Salespeople!$A$2:$A$11,Salespeople!$C$2:$C$11)</f>
        <v>Americas</v>
      </c>
      <c r="G37" t="str">
        <f>_xlfn.XLOOKUP(C37,Salespeople!$A$2:$A$11,Salespeople!$D$2:$D$11)</f>
        <v>United States</v>
      </c>
      <c r="H37" s="3">
        <v>21</v>
      </c>
      <c r="I37" s="5"/>
      <c r="J37" s="5"/>
      <c r="K37" s="8"/>
      <c r="O37" s="8"/>
    </row>
    <row r="38" spans="1:15" x14ac:dyDescent="0.45">
      <c r="A38" t="s">
        <v>110</v>
      </c>
      <c r="B38" s="4">
        <v>45516</v>
      </c>
      <c r="C38" t="s">
        <v>38</v>
      </c>
      <c r="D38" t="s">
        <v>103</v>
      </c>
      <c r="E38" t="s">
        <v>23</v>
      </c>
      <c r="F38" t="str">
        <f>_xlfn.XLOOKUP(C38,Salespeople!$A$2:$A$11,Salespeople!$C$2:$C$11)</f>
        <v>Americas</v>
      </c>
      <c r="G38" t="str">
        <f>_xlfn.XLOOKUP(C38,Salespeople!$A$2:$A$11,Salespeople!$D$2:$D$11)</f>
        <v>Brazil</v>
      </c>
      <c r="H38" s="3">
        <v>8</v>
      </c>
      <c r="I38" s="5"/>
      <c r="J38" s="5"/>
      <c r="K38" s="8"/>
      <c r="O38" s="8"/>
    </row>
    <row r="39" spans="1:15" x14ac:dyDescent="0.45">
      <c r="A39" t="s">
        <v>111</v>
      </c>
      <c r="B39" s="4">
        <v>45324</v>
      </c>
      <c r="C39" t="s">
        <v>83</v>
      </c>
      <c r="D39" t="s">
        <v>19</v>
      </c>
      <c r="E39" t="s">
        <v>14</v>
      </c>
      <c r="F39" t="str">
        <f>_xlfn.XLOOKUP(C39,Salespeople!$A$2:$A$11,Salespeople!$C$2:$C$11)</f>
        <v>EMEA</v>
      </c>
      <c r="G39" t="str">
        <f>_xlfn.XLOOKUP(C39,Salespeople!$A$2:$A$11,Salespeople!$D$2:$D$11)</f>
        <v>United Arab Emirates</v>
      </c>
      <c r="H39" s="3">
        <v>18</v>
      </c>
      <c r="I39" s="5"/>
      <c r="J39" s="5"/>
      <c r="K39" s="8"/>
      <c r="O39" s="8"/>
    </row>
    <row r="40" spans="1:15" x14ac:dyDescent="0.45">
      <c r="A40" t="s">
        <v>112</v>
      </c>
      <c r="B40" s="4">
        <v>45593</v>
      </c>
      <c r="C40" t="s">
        <v>51</v>
      </c>
      <c r="D40" t="s">
        <v>19</v>
      </c>
      <c r="E40" t="s">
        <v>23</v>
      </c>
      <c r="F40" t="str">
        <f>_xlfn.XLOOKUP(C40,Salespeople!$A$2:$A$11,Salespeople!$C$2:$C$11)</f>
        <v>Americas</v>
      </c>
      <c r="G40" t="str">
        <f>_xlfn.XLOOKUP(C40,Salespeople!$A$2:$A$11,Salespeople!$D$2:$D$11)</f>
        <v>Mexico</v>
      </c>
      <c r="H40" s="3">
        <v>23</v>
      </c>
      <c r="I40" s="5"/>
      <c r="J40" s="5"/>
      <c r="K40" s="8"/>
      <c r="O40" s="8"/>
    </row>
    <row r="41" spans="1:15" x14ac:dyDescent="0.45">
      <c r="A41" t="s">
        <v>113</v>
      </c>
      <c r="B41" s="4">
        <v>45409</v>
      </c>
      <c r="C41" t="s">
        <v>17</v>
      </c>
      <c r="D41" t="s">
        <v>91</v>
      </c>
      <c r="E41" t="s">
        <v>23</v>
      </c>
      <c r="F41" t="str">
        <f>_xlfn.XLOOKUP(C41,Salespeople!$A$2:$A$11,Salespeople!$C$2:$C$11)</f>
        <v>EMEA</v>
      </c>
      <c r="G41" t="str">
        <f>_xlfn.XLOOKUP(C41,Salespeople!$A$2:$A$11,Salespeople!$D$2:$D$11)</f>
        <v>Portugal</v>
      </c>
      <c r="H41" s="3">
        <v>11</v>
      </c>
      <c r="I41" s="5"/>
      <c r="J41" s="5"/>
      <c r="K41" s="8"/>
      <c r="O41" s="8"/>
    </row>
    <row r="42" spans="1:15" x14ac:dyDescent="0.45">
      <c r="A42" t="s">
        <v>114</v>
      </c>
      <c r="B42" s="4">
        <v>45555</v>
      </c>
      <c r="C42" t="s">
        <v>51</v>
      </c>
      <c r="D42" t="s">
        <v>79</v>
      </c>
      <c r="E42" t="s">
        <v>14</v>
      </c>
      <c r="F42" t="str">
        <f>_xlfn.XLOOKUP(C42,Salespeople!$A$2:$A$11,Salespeople!$C$2:$C$11)</f>
        <v>Americas</v>
      </c>
      <c r="G42" t="str">
        <f>_xlfn.XLOOKUP(C42,Salespeople!$A$2:$A$11,Salespeople!$D$2:$D$11)</f>
        <v>Mexico</v>
      </c>
      <c r="H42" s="3">
        <v>16</v>
      </c>
      <c r="I42" s="5"/>
      <c r="J42" s="5"/>
      <c r="K42" s="8"/>
      <c r="O42" s="8"/>
    </row>
    <row r="43" spans="1:15" x14ac:dyDescent="0.45">
      <c r="A43" t="s">
        <v>115</v>
      </c>
      <c r="B43" s="4">
        <v>45568</v>
      </c>
      <c r="C43" t="s">
        <v>26</v>
      </c>
      <c r="D43" t="s">
        <v>28</v>
      </c>
      <c r="E43" t="s">
        <v>14</v>
      </c>
      <c r="F43" t="str">
        <f>_xlfn.XLOOKUP(C43,Salespeople!$A$2:$A$11,Salespeople!$C$2:$C$11)</f>
        <v>APAC</v>
      </c>
      <c r="G43" t="str">
        <f>_xlfn.XLOOKUP(C43,Salespeople!$A$2:$A$11,Salespeople!$D$2:$D$11)</f>
        <v>Singapore</v>
      </c>
      <c r="H43" s="3">
        <v>19</v>
      </c>
      <c r="I43" s="5"/>
      <c r="J43" s="5"/>
      <c r="K43" s="8"/>
      <c r="O43" s="8"/>
    </row>
    <row r="44" spans="1:15" x14ac:dyDescent="0.45">
      <c r="A44" t="s">
        <v>116</v>
      </c>
      <c r="B44" s="4">
        <v>45416</v>
      </c>
      <c r="C44" t="s">
        <v>60</v>
      </c>
      <c r="D44" t="s">
        <v>53</v>
      </c>
      <c r="E44" t="s">
        <v>48</v>
      </c>
      <c r="F44" t="str">
        <f>_xlfn.XLOOKUP(C44,Salespeople!$A$2:$A$11,Salespeople!$C$2:$C$11)</f>
        <v>APAC</v>
      </c>
      <c r="G44" t="str">
        <f>_xlfn.XLOOKUP(C44,Salespeople!$A$2:$A$11,Salespeople!$D$2:$D$11)</f>
        <v>Japan</v>
      </c>
      <c r="H44" s="3">
        <v>7</v>
      </c>
      <c r="I44" s="5"/>
      <c r="J44" s="5"/>
      <c r="K44" s="8"/>
      <c r="O44" s="8"/>
    </row>
    <row r="45" spans="1:15" x14ac:dyDescent="0.45">
      <c r="A45" t="s">
        <v>117</v>
      </c>
      <c r="B45" s="4">
        <v>45341</v>
      </c>
      <c r="C45" t="s">
        <v>33</v>
      </c>
      <c r="D45" t="s">
        <v>56</v>
      </c>
      <c r="E45" t="s">
        <v>48</v>
      </c>
      <c r="F45" t="str">
        <f>_xlfn.XLOOKUP(C45,Salespeople!$A$2:$A$11,Salespeople!$C$2:$C$11)</f>
        <v>EMEA</v>
      </c>
      <c r="G45" t="str">
        <f>_xlfn.XLOOKUP(C45,Salespeople!$A$2:$A$11,Salespeople!$D$2:$D$11)</f>
        <v>Kenya</v>
      </c>
      <c r="H45" s="3">
        <v>14</v>
      </c>
      <c r="I45" s="5"/>
      <c r="J45" s="5"/>
      <c r="K45" s="8"/>
      <c r="O45" s="8"/>
    </row>
    <row r="46" spans="1:15" x14ac:dyDescent="0.45">
      <c r="A46" t="s">
        <v>118</v>
      </c>
      <c r="B46" s="4">
        <v>45319</v>
      </c>
      <c r="C46" t="s">
        <v>17</v>
      </c>
      <c r="D46" t="s">
        <v>19</v>
      </c>
      <c r="E46" t="s">
        <v>48</v>
      </c>
      <c r="F46" t="str">
        <f>_xlfn.XLOOKUP(C46,Salespeople!$A$2:$A$11,Salespeople!$C$2:$C$11)</f>
        <v>EMEA</v>
      </c>
      <c r="G46" t="str">
        <f>_xlfn.XLOOKUP(C46,Salespeople!$A$2:$A$11,Salespeople!$D$2:$D$11)</f>
        <v>Portugal</v>
      </c>
      <c r="H46" s="3">
        <v>24</v>
      </c>
      <c r="I46" s="5"/>
      <c r="J46" s="5"/>
      <c r="K46" s="8"/>
      <c r="O46" s="8"/>
    </row>
    <row r="47" spans="1:15" x14ac:dyDescent="0.45">
      <c r="A47" t="s">
        <v>119</v>
      </c>
      <c r="B47" s="4">
        <v>45347</v>
      </c>
      <c r="C47" t="s">
        <v>51</v>
      </c>
      <c r="D47" t="s">
        <v>88</v>
      </c>
      <c r="E47" t="s">
        <v>23</v>
      </c>
      <c r="F47" t="str">
        <f>_xlfn.XLOOKUP(C47,Salespeople!$A$2:$A$11,Salespeople!$C$2:$C$11)</f>
        <v>Americas</v>
      </c>
      <c r="G47" t="str">
        <f>_xlfn.XLOOKUP(C47,Salespeople!$A$2:$A$11,Salespeople!$D$2:$D$11)</f>
        <v>Mexico</v>
      </c>
      <c r="H47" s="3">
        <v>18</v>
      </c>
      <c r="I47" s="5"/>
      <c r="J47" s="5"/>
      <c r="K47" s="8"/>
      <c r="O47" s="8"/>
    </row>
    <row r="48" spans="1:15" x14ac:dyDescent="0.45">
      <c r="A48" t="s">
        <v>120</v>
      </c>
      <c r="B48" s="4">
        <v>45363</v>
      </c>
      <c r="C48" t="s">
        <v>33</v>
      </c>
      <c r="D48" t="s">
        <v>121</v>
      </c>
      <c r="E48" t="s">
        <v>48</v>
      </c>
      <c r="F48" t="str">
        <f>_xlfn.XLOOKUP(C48,Salespeople!$A$2:$A$11,Salespeople!$C$2:$C$11)</f>
        <v>EMEA</v>
      </c>
      <c r="G48" t="str">
        <f>_xlfn.XLOOKUP(C48,Salespeople!$A$2:$A$11,Salespeople!$D$2:$D$11)</f>
        <v>Kenya</v>
      </c>
      <c r="H48" s="3">
        <v>15</v>
      </c>
      <c r="I48" s="5"/>
      <c r="J48" s="5"/>
      <c r="K48" s="8"/>
      <c r="O48" s="8"/>
    </row>
    <row r="49" spans="1:15" x14ac:dyDescent="0.45">
      <c r="A49" t="s">
        <v>123</v>
      </c>
      <c r="B49" s="4">
        <v>45330</v>
      </c>
      <c r="C49" t="s">
        <v>60</v>
      </c>
      <c r="D49" t="s">
        <v>53</v>
      </c>
      <c r="E49" t="s">
        <v>14</v>
      </c>
      <c r="F49" t="str">
        <f>_xlfn.XLOOKUP(C49,Salespeople!$A$2:$A$11,Salespeople!$C$2:$C$11)</f>
        <v>APAC</v>
      </c>
      <c r="G49" t="str">
        <f>_xlfn.XLOOKUP(C49,Salespeople!$A$2:$A$11,Salespeople!$D$2:$D$11)</f>
        <v>Japan</v>
      </c>
      <c r="H49" s="3">
        <v>4</v>
      </c>
      <c r="I49" s="5"/>
      <c r="J49" s="5"/>
      <c r="K49" s="8"/>
      <c r="O49" s="8"/>
    </row>
    <row r="50" spans="1:15" x14ac:dyDescent="0.45">
      <c r="A50" t="s">
        <v>124</v>
      </c>
      <c r="B50" s="4">
        <v>45625</v>
      </c>
      <c r="C50" t="s">
        <v>38</v>
      </c>
      <c r="D50" t="s">
        <v>68</v>
      </c>
      <c r="E50" t="s">
        <v>23</v>
      </c>
      <c r="F50" t="str">
        <f>_xlfn.XLOOKUP(C50,Salespeople!$A$2:$A$11,Salespeople!$C$2:$C$11)</f>
        <v>Americas</v>
      </c>
      <c r="G50" t="str">
        <f>_xlfn.XLOOKUP(C50,Salespeople!$A$2:$A$11,Salespeople!$D$2:$D$11)</f>
        <v>Brazil</v>
      </c>
      <c r="H50" s="3">
        <v>3</v>
      </c>
      <c r="I50" s="5"/>
      <c r="J50" s="5"/>
      <c r="K50" s="8"/>
      <c r="O50" s="8"/>
    </row>
    <row r="51" spans="1:15" x14ac:dyDescent="0.45">
      <c r="A51" t="s">
        <v>125</v>
      </c>
      <c r="B51" s="4">
        <v>45377</v>
      </c>
      <c r="C51" t="s">
        <v>33</v>
      </c>
      <c r="D51" t="s">
        <v>103</v>
      </c>
      <c r="E51" t="s">
        <v>48</v>
      </c>
      <c r="F51" t="str">
        <f>_xlfn.XLOOKUP(C51,Salespeople!$A$2:$A$11,Salespeople!$C$2:$C$11)</f>
        <v>EMEA</v>
      </c>
      <c r="G51" t="str">
        <f>_xlfn.XLOOKUP(C51,Salespeople!$A$2:$A$11,Salespeople!$D$2:$D$11)</f>
        <v>Kenya</v>
      </c>
      <c r="H51" s="3">
        <v>7</v>
      </c>
      <c r="I51" s="5"/>
      <c r="J51" s="5"/>
      <c r="K51" s="8"/>
      <c r="O51" s="8"/>
    </row>
    <row r="52" spans="1:15" x14ac:dyDescent="0.45">
      <c r="A52" t="s">
        <v>126</v>
      </c>
      <c r="B52" s="4">
        <v>45322</v>
      </c>
      <c r="C52" t="s">
        <v>26</v>
      </c>
      <c r="D52" t="s">
        <v>44</v>
      </c>
      <c r="E52" t="s">
        <v>23</v>
      </c>
      <c r="F52" t="str">
        <f>_xlfn.XLOOKUP(C52,Salespeople!$A$2:$A$11,Salespeople!$C$2:$C$11)</f>
        <v>APAC</v>
      </c>
      <c r="G52" t="str">
        <f>_xlfn.XLOOKUP(C52,Salespeople!$A$2:$A$11,Salespeople!$D$2:$D$11)</f>
        <v>Singapore</v>
      </c>
      <c r="H52" s="3">
        <v>13</v>
      </c>
      <c r="I52" s="5"/>
      <c r="J52" s="5"/>
      <c r="K52" s="8"/>
      <c r="O52" s="8"/>
    </row>
    <row r="53" spans="1:15" x14ac:dyDescent="0.45">
      <c r="A53" t="s">
        <v>127</v>
      </c>
      <c r="B53" s="4">
        <v>45524</v>
      </c>
      <c r="C53" t="s">
        <v>66</v>
      </c>
      <c r="D53" t="s">
        <v>44</v>
      </c>
      <c r="E53" t="s">
        <v>14</v>
      </c>
      <c r="F53" t="str">
        <f>_xlfn.XLOOKUP(C53,Salespeople!$A$2:$A$11,Salespeople!$C$2:$C$11)</f>
        <v>Americas</v>
      </c>
      <c r="G53" t="str">
        <f>_xlfn.XLOOKUP(C53,Salespeople!$A$2:$A$11,Salespeople!$D$2:$D$11)</f>
        <v>United States</v>
      </c>
      <c r="H53" s="3">
        <v>24</v>
      </c>
      <c r="I53" s="5"/>
      <c r="J53" s="5"/>
      <c r="K53" s="8"/>
      <c r="O53" s="8"/>
    </row>
    <row r="54" spans="1:15" x14ac:dyDescent="0.45">
      <c r="A54" t="s">
        <v>128</v>
      </c>
      <c r="B54" s="4">
        <v>45371</v>
      </c>
      <c r="C54" t="s">
        <v>51</v>
      </c>
      <c r="D54" t="s">
        <v>79</v>
      </c>
      <c r="E54" t="s">
        <v>23</v>
      </c>
      <c r="F54" t="str">
        <f>_xlfn.XLOOKUP(C54,Salespeople!$A$2:$A$11,Salespeople!$C$2:$C$11)</f>
        <v>Americas</v>
      </c>
      <c r="G54" t="str">
        <f>_xlfn.XLOOKUP(C54,Salespeople!$A$2:$A$11,Salespeople!$D$2:$D$11)</f>
        <v>Mexico</v>
      </c>
      <c r="H54" s="3">
        <v>2</v>
      </c>
      <c r="I54" s="5"/>
      <c r="J54" s="5"/>
      <c r="K54" s="8"/>
      <c r="O54" s="8"/>
    </row>
    <row r="55" spans="1:15" x14ac:dyDescent="0.45">
      <c r="A55" t="s">
        <v>129</v>
      </c>
      <c r="B55" s="4">
        <v>45452</v>
      </c>
      <c r="C55" t="s">
        <v>131</v>
      </c>
      <c r="D55" t="s">
        <v>19</v>
      </c>
      <c r="E55" t="s">
        <v>14</v>
      </c>
      <c r="F55" t="str">
        <f>_xlfn.XLOOKUP(C55,Salespeople!$A$2:$A$11,Salespeople!$C$2:$C$11)</f>
        <v>EMEA</v>
      </c>
      <c r="G55" t="str">
        <f>_xlfn.XLOOKUP(C55,Salespeople!$A$2:$A$11,Salespeople!$D$2:$D$11)</f>
        <v>United Kingdom</v>
      </c>
      <c r="H55" s="3">
        <v>16</v>
      </c>
      <c r="I55" s="5"/>
      <c r="J55" s="5"/>
      <c r="K55" s="8"/>
      <c r="O55" s="8"/>
    </row>
    <row r="56" spans="1:15" x14ac:dyDescent="0.45">
      <c r="A56" t="s">
        <v>133</v>
      </c>
      <c r="B56" s="4">
        <v>45321</v>
      </c>
      <c r="C56" t="s">
        <v>38</v>
      </c>
      <c r="D56" t="s">
        <v>134</v>
      </c>
      <c r="E56" t="s">
        <v>23</v>
      </c>
      <c r="F56" t="str">
        <f>_xlfn.XLOOKUP(C56,Salespeople!$A$2:$A$11,Salespeople!$C$2:$C$11)</f>
        <v>Americas</v>
      </c>
      <c r="G56" t="str">
        <f>_xlfn.XLOOKUP(C56,Salespeople!$A$2:$A$11,Salespeople!$D$2:$D$11)</f>
        <v>Brazil</v>
      </c>
      <c r="H56" s="3">
        <v>3</v>
      </c>
      <c r="I56" s="5"/>
      <c r="J56" s="5"/>
      <c r="K56" s="8"/>
      <c r="O56" s="8"/>
    </row>
    <row r="57" spans="1:15" x14ac:dyDescent="0.45">
      <c r="A57" t="s">
        <v>136</v>
      </c>
      <c r="B57" s="4">
        <v>45637</v>
      </c>
      <c r="C57" t="s">
        <v>51</v>
      </c>
      <c r="D57" t="s">
        <v>44</v>
      </c>
      <c r="E57" t="s">
        <v>23</v>
      </c>
      <c r="F57" t="str">
        <f>_xlfn.XLOOKUP(C57,Salespeople!$A$2:$A$11,Salespeople!$C$2:$C$11)</f>
        <v>Americas</v>
      </c>
      <c r="G57" t="str">
        <f>_xlfn.XLOOKUP(C57,Salespeople!$A$2:$A$11,Salespeople!$D$2:$D$11)</f>
        <v>Mexico</v>
      </c>
      <c r="H57" s="3">
        <v>19</v>
      </c>
      <c r="I57" s="5"/>
      <c r="J57" s="5"/>
      <c r="K57" s="8"/>
      <c r="O57" s="8"/>
    </row>
    <row r="58" spans="1:15" x14ac:dyDescent="0.45">
      <c r="A58" t="s">
        <v>137</v>
      </c>
      <c r="B58" s="4">
        <v>45588</v>
      </c>
      <c r="C58" t="s">
        <v>139</v>
      </c>
      <c r="D58" t="s">
        <v>19</v>
      </c>
      <c r="E58" t="s">
        <v>14</v>
      </c>
      <c r="F58" t="str">
        <f>_xlfn.XLOOKUP(C58,Salespeople!$A$2:$A$11,Salespeople!$C$2:$C$11)</f>
        <v>Americas</v>
      </c>
      <c r="G58" t="str">
        <f>_xlfn.XLOOKUP(C58,Salespeople!$A$2:$A$11,Salespeople!$D$2:$D$11)</f>
        <v>Canada</v>
      </c>
      <c r="H58" s="3">
        <v>3</v>
      </c>
      <c r="I58" s="5"/>
      <c r="J58" s="5"/>
      <c r="K58" s="8"/>
      <c r="O58" s="8"/>
    </row>
    <row r="59" spans="1:15" x14ac:dyDescent="0.45">
      <c r="A59" t="s">
        <v>141</v>
      </c>
      <c r="B59" s="4">
        <v>45628</v>
      </c>
      <c r="C59" t="s">
        <v>139</v>
      </c>
      <c r="D59" t="s">
        <v>40</v>
      </c>
      <c r="E59" t="s">
        <v>14</v>
      </c>
      <c r="F59" t="str">
        <f>_xlfn.XLOOKUP(C59,Salespeople!$A$2:$A$11,Salespeople!$C$2:$C$11)</f>
        <v>Americas</v>
      </c>
      <c r="G59" t="str">
        <f>_xlfn.XLOOKUP(C59,Salespeople!$A$2:$A$11,Salespeople!$D$2:$D$11)</f>
        <v>Canada</v>
      </c>
      <c r="H59" s="3">
        <v>11</v>
      </c>
      <c r="I59" s="5"/>
      <c r="J59" s="5"/>
      <c r="K59" s="8"/>
      <c r="O59" s="8"/>
    </row>
    <row r="60" spans="1:15" x14ac:dyDescent="0.45">
      <c r="A60" t="s">
        <v>142</v>
      </c>
      <c r="B60" s="4">
        <v>45396</v>
      </c>
      <c r="C60" t="s">
        <v>83</v>
      </c>
      <c r="D60" t="s">
        <v>88</v>
      </c>
      <c r="E60" t="s">
        <v>48</v>
      </c>
      <c r="F60" t="str">
        <f>_xlfn.XLOOKUP(C60,Salespeople!$A$2:$A$11,Salespeople!$C$2:$C$11)</f>
        <v>EMEA</v>
      </c>
      <c r="G60" t="str">
        <f>_xlfn.XLOOKUP(C60,Salespeople!$A$2:$A$11,Salespeople!$D$2:$D$11)</f>
        <v>United Arab Emirates</v>
      </c>
      <c r="H60" s="3">
        <v>13</v>
      </c>
      <c r="I60" s="5"/>
      <c r="J60" s="5"/>
      <c r="K60" s="8"/>
      <c r="O60" s="8"/>
    </row>
    <row r="61" spans="1:15" x14ac:dyDescent="0.45">
      <c r="A61" t="s">
        <v>143</v>
      </c>
      <c r="B61" s="4">
        <v>45635</v>
      </c>
      <c r="C61" t="s">
        <v>66</v>
      </c>
      <c r="D61" t="s">
        <v>103</v>
      </c>
      <c r="E61" t="s">
        <v>48</v>
      </c>
      <c r="F61" t="str">
        <f>_xlfn.XLOOKUP(C61,Salespeople!$A$2:$A$11,Salespeople!$C$2:$C$11)</f>
        <v>Americas</v>
      </c>
      <c r="G61" t="str">
        <f>_xlfn.XLOOKUP(C61,Salespeople!$A$2:$A$11,Salespeople!$D$2:$D$11)</f>
        <v>United States</v>
      </c>
      <c r="H61" s="3">
        <v>25</v>
      </c>
      <c r="I61" s="5"/>
      <c r="J61" s="5"/>
      <c r="K61" s="8"/>
      <c r="O61" s="8"/>
    </row>
    <row r="62" spans="1:15" x14ac:dyDescent="0.45">
      <c r="A62" t="s">
        <v>144</v>
      </c>
      <c r="B62" s="4">
        <v>45296</v>
      </c>
      <c r="C62" t="s">
        <v>60</v>
      </c>
      <c r="D62" t="s">
        <v>40</v>
      </c>
      <c r="E62" t="s">
        <v>14</v>
      </c>
      <c r="F62" t="str">
        <f>_xlfn.XLOOKUP(C62,Salespeople!$A$2:$A$11,Salespeople!$C$2:$C$11)</f>
        <v>APAC</v>
      </c>
      <c r="G62" t="str">
        <f>_xlfn.XLOOKUP(C62,Salespeople!$A$2:$A$11,Salespeople!$D$2:$D$11)</f>
        <v>Japan</v>
      </c>
      <c r="H62" s="3">
        <v>4</v>
      </c>
      <c r="I62" s="5"/>
      <c r="J62" s="5"/>
      <c r="K62" s="8"/>
      <c r="O62" s="8"/>
    </row>
    <row r="63" spans="1:15" x14ac:dyDescent="0.45">
      <c r="A63" t="s">
        <v>145</v>
      </c>
      <c r="B63" s="4">
        <v>45567</v>
      </c>
      <c r="C63" t="s">
        <v>51</v>
      </c>
      <c r="D63" t="s">
        <v>62</v>
      </c>
      <c r="E63" t="s">
        <v>48</v>
      </c>
      <c r="F63" t="str">
        <f>_xlfn.XLOOKUP(C63,Salespeople!$A$2:$A$11,Salespeople!$C$2:$C$11)</f>
        <v>Americas</v>
      </c>
      <c r="G63" t="str">
        <f>_xlfn.XLOOKUP(C63,Salespeople!$A$2:$A$11,Salespeople!$D$2:$D$11)</f>
        <v>Mexico</v>
      </c>
      <c r="H63" s="3">
        <v>5</v>
      </c>
      <c r="I63" s="5"/>
      <c r="J63" s="5"/>
      <c r="K63" s="8"/>
      <c r="O63" s="8"/>
    </row>
    <row r="64" spans="1:15" x14ac:dyDescent="0.45">
      <c r="A64" t="s">
        <v>146</v>
      </c>
      <c r="B64" s="4">
        <v>45327</v>
      </c>
      <c r="C64" t="s">
        <v>51</v>
      </c>
      <c r="D64" t="s">
        <v>56</v>
      </c>
      <c r="E64" t="s">
        <v>48</v>
      </c>
      <c r="F64" t="str">
        <f>_xlfn.XLOOKUP(C64,Salespeople!$A$2:$A$11,Salespeople!$C$2:$C$11)</f>
        <v>Americas</v>
      </c>
      <c r="G64" t="str">
        <f>_xlfn.XLOOKUP(C64,Salespeople!$A$2:$A$11,Salespeople!$D$2:$D$11)</f>
        <v>Mexico</v>
      </c>
      <c r="H64" s="3">
        <v>6</v>
      </c>
      <c r="I64" s="5"/>
      <c r="J64" s="5"/>
      <c r="K64" s="8"/>
      <c r="O64" s="8"/>
    </row>
    <row r="65" spans="1:15" x14ac:dyDescent="0.45">
      <c r="A65" t="s">
        <v>147</v>
      </c>
      <c r="B65" s="4">
        <v>45570</v>
      </c>
      <c r="C65" t="s">
        <v>66</v>
      </c>
      <c r="D65" t="s">
        <v>40</v>
      </c>
      <c r="E65" t="s">
        <v>14</v>
      </c>
      <c r="F65" t="str">
        <f>_xlfn.XLOOKUP(C65,Salespeople!$A$2:$A$11,Salespeople!$C$2:$C$11)</f>
        <v>Americas</v>
      </c>
      <c r="G65" t="str">
        <f>_xlfn.XLOOKUP(C65,Salespeople!$A$2:$A$11,Salespeople!$D$2:$D$11)</f>
        <v>United States</v>
      </c>
      <c r="H65" s="3">
        <v>17</v>
      </c>
      <c r="I65" s="5"/>
      <c r="J65" s="5"/>
      <c r="K65" s="8"/>
      <c r="O65" s="8"/>
    </row>
    <row r="66" spans="1:15" x14ac:dyDescent="0.45">
      <c r="A66" t="s">
        <v>148</v>
      </c>
      <c r="B66" s="4">
        <v>45633</v>
      </c>
      <c r="C66" t="s">
        <v>38</v>
      </c>
      <c r="D66" t="s">
        <v>79</v>
      </c>
      <c r="E66" t="s">
        <v>14</v>
      </c>
      <c r="F66" t="str">
        <f>_xlfn.XLOOKUP(C66,Salespeople!$A$2:$A$11,Salespeople!$C$2:$C$11)</f>
        <v>Americas</v>
      </c>
      <c r="G66" t="str">
        <f>_xlfn.XLOOKUP(C66,Salespeople!$A$2:$A$11,Salespeople!$D$2:$D$11)</f>
        <v>Brazil</v>
      </c>
      <c r="H66" s="3">
        <v>4</v>
      </c>
      <c r="I66" s="5"/>
      <c r="J66" s="5"/>
      <c r="K66" s="8"/>
      <c r="O66" s="8"/>
    </row>
    <row r="67" spans="1:15" x14ac:dyDescent="0.45">
      <c r="A67" t="s">
        <v>149</v>
      </c>
      <c r="B67" s="4">
        <v>45427</v>
      </c>
      <c r="C67" t="s">
        <v>17</v>
      </c>
      <c r="D67" t="s">
        <v>91</v>
      </c>
      <c r="E67" t="s">
        <v>23</v>
      </c>
      <c r="F67" t="str">
        <f>_xlfn.XLOOKUP(C67,Salespeople!$A$2:$A$11,Salespeople!$C$2:$C$11)</f>
        <v>EMEA</v>
      </c>
      <c r="G67" t="str">
        <f>_xlfn.XLOOKUP(C67,Salespeople!$A$2:$A$11,Salespeople!$D$2:$D$11)</f>
        <v>Portugal</v>
      </c>
      <c r="H67" s="3">
        <v>24</v>
      </c>
      <c r="I67" s="5"/>
      <c r="J67" s="5"/>
      <c r="K67" s="8"/>
      <c r="O67" s="8"/>
    </row>
    <row r="68" spans="1:15" x14ac:dyDescent="0.45">
      <c r="A68" t="s">
        <v>150</v>
      </c>
      <c r="B68" s="4">
        <v>45431</v>
      </c>
      <c r="C68" t="s">
        <v>66</v>
      </c>
      <c r="D68" t="s">
        <v>40</v>
      </c>
      <c r="E68" t="s">
        <v>23</v>
      </c>
      <c r="F68" t="str">
        <f>_xlfn.XLOOKUP(C68,Salespeople!$A$2:$A$11,Salespeople!$C$2:$C$11)</f>
        <v>Americas</v>
      </c>
      <c r="G68" t="str">
        <f>_xlfn.XLOOKUP(C68,Salespeople!$A$2:$A$11,Salespeople!$D$2:$D$11)</f>
        <v>United States</v>
      </c>
      <c r="H68" s="3">
        <v>23</v>
      </c>
      <c r="I68" s="5"/>
      <c r="J68" s="5"/>
      <c r="K68" s="8"/>
      <c r="O68" s="8"/>
    </row>
    <row r="69" spans="1:15" x14ac:dyDescent="0.45">
      <c r="A69" t="s">
        <v>151</v>
      </c>
      <c r="B69" s="4">
        <v>45396</v>
      </c>
      <c r="C69" t="s">
        <v>66</v>
      </c>
      <c r="D69" t="s">
        <v>62</v>
      </c>
      <c r="E69" t="s">
        <v>48</v>
      </c>
      <c r="F69" t="str">
        <f>_xlfn.XLOOKUP(C69,Salespeople!$A$2:$A$11,Salespeople!$C$2:$C$11)</f>
        <v>Americas</v>
      </c>
      <c r="G69" t="str">
        <f>_xlfn.XLOOKUP(C69,Salespeople!$A$2:$A$11,Salespeople!$D$2:$D$11)</f>
        <v>United States</v>
      </c>
      <c r="H69" s="3">
        <v>9</v>
      </c>
      <c r="I69" s="5"/>
      <c r="J69" s="5"/>
      <c r="K69" s="8"/>
      <c r="O69" s="8"/>
    </row>
    <row r="70" spans="1:15" x14ac:dyDescent="0.45">
      <c r="A70" t="s">
        <v>152</v>
      </c>
      <c r="B70" s="4">
        <v>45339</v>
      </c>
      <c r="C70" t="s">
        <v>33</v>
      </c>
      <c r="D70" t="s">
        <v>68</v>
      </c>
      <c r="E70" t="s">
        <v>48</v>
      </c>
      <c r="F70" t="str">
        <f>_xlfn.XLOOKUP(C70,Salespeople!$A$2:$A$11,Salespeople!$C$2:$C$11)</f>
        <v>EMEA</v>
      </c>
      <c r="G70" t="str">
        <f>_xlfn.XLOOKUP(C70,Salespeople!$A$2:$A$11,Salespeople!$D$2:$D$11)</f>
        <v>Kenya</v>
      </c>
      <c r="H70" s="3">
        <v>2</v>
      </c>
      <c r="I70" s="5"/>
      <c r="J70" s="5"/>
      <c r="K70" s="8"/>
      <c r="O70" s="8"/>
    </row>
    <row r="71" spans="1:15" x14ac:dyDescent="0.45">
      <c r="A71" t="s">
        <v>153</v>
      </c>
      <c r="B71" s="4">
        <v>45462</v>
      </c>
      <c r="C71" t="s">
        <v>26</v>
      </c>
      <c r="D71" t="s">
        <v>74</v>
      </c>
      <c r="E71" t="s">
        <v>48</v>
      </c>
      <c r="F71" t="str">
        <f>_xlfn.XLOOKUP(C71,Salespeople!$A$2:$A$11,Salespeople!$C$2:$C$11)</f>
        <v>APAC</v>
      </c>
      <c r="G71" t="str">
        <f>_xlfn.XLOOKUP(C71,Salespeople!$A$2:$A$11,Salespeople!$D$2:$D$11)</f>
        <v>Singapore</v>
      </c>
      <c r="H71" s="3">
        <v>6</v>
      </c>
      <c r="I71" s="5"/>
      <c r="J71" s="5"/>
      <c r="K71" s="8"/>
      <c r="O71" s="8"/>
    </row>
    <row r="72" spans="1:15" x14ac:dyDescent="0.45">
      <c r="A72" t="s">
        <v>154</v>
      </c>
      <c r="B72" s="4">
        <v>45574</v>
      </c>
      <c r="C72" t="s">
        <v>33</v>
      </c>
      <c r="D72" t="s">
        <v>62</v>
      </c>
      <c r="E72" t="s">
        <v>23</v>
      </c>
      <c r="F72" t="str">
        <f>_xlfn.XLOOKUP(C72,Salespeople!$A$2:$A$11,Salespeople!$C$2:$C$11)</f>
        <v>EMEA</v>
      </c>
      <c r="G72" t="str">
        <f>_xlfn.XLOOKUP(C72,Salespeople!$A$2:$A$11,Salespeople!$D$2:$D$11)</f>
        <v>Kenya</v>
      </c>
      <c r="H72" s="3">
        <v>4</v>
      </c>
      <c r="I72" s="5"/>
      <c r="J72" s="5"/>
      <c r="K72" s="8"/>
      <c r="O72" s="8"/>
    </row>
    <row r="73" spans="1:15" x14ac:dyDescent="0.45">
      <c r="A73" t="s">
        <v>155</v>
      </c>
      <c r="B73" s="4">
        <v>45645</v>
      </c>
      <c r="C73" t="s">
        <v>26</v>
      </c>
      <c r="D73" t="s">
        <v>62</v>
      </c>
      <c r="E73" t="s">
        <v>23</v>
      </c>
      <c r="F73" t="str">
        <f>_xlfn.XLOOKUP(C73,Salespeople!$A$2:$A$11,Salespeople!$C$2:$C$11)</f>
        <v>APAC</v>
      </c>
      <c r="G73" t="str">
        <f>_xlfn.XLOOKUP(C73,Salespeople!$A$2:$A$11,Salespeople!$D$2:$D$11)</f>
        <v>Singapore</v>
      </c>
      <c r="H73" s="3">
        <v>12</v>
      </c>
      <c r="I73" s="5"/>
      <c r="J73" s="5"/>
      <c r="K73" s="8"/>
      <c r="O73" s="8"/>
    </row>
    <row r="74" spans="1:15" x14ac:dyDescent="0.45">
      <c r="A74" t="s">
        <v>156</v>
      </c>
      <c r="B74" s="4">
        <v>45512</v>
      </c>
      <c r="C74" t="s">
        <v>26</v>
      </c>
      <c r="D74" t="s">
        <v>19</v>
      </c>
      <c r="E74" t="s">
        <v>48</v>
      </c>
      <c r="F74" t="str">
        <f>_xlfn.XLOOKUP(C74,Salespeople!$A$2:$A$11,Salespeople!$C$2:$C$11)</f>
        <v>APAC</v>
      </c>
      <c r="G74" t="str">
        <f>_xlfn.XLOOKUP(C74,Salespeople!$A$2:$A$11,Salespeople!$D$2:$D$11)</f>
        <v>Singapore</v>
      </c>
      <c r="H74" s="3">
        <v>12</v>
      </c>
      <c r="I74" s="5"/>
      <c r="J74" s="5"/>
      <c r="K74" s="8"/>
      <c r="O74" s="8"/>
    </row>
    <row r="75" spans="1:15" x14ac:dyDescent="0.45">
      <c r="A75" t="s">
        <v>157</v>
      </c>
      <c r="B75" s="4">
        <v>45475</v>
      </c>
      <c r="C75" t="s">
        <v>51</v>
      </c>
      <c r="D75" t="s">
        <v>74</v>
      </c>
      <c r="E75" t="s">
        <v>23</v>
      </c>
      <c r="F75" t="str">
        <f>_xlfn.XLOOKUP(C75,Salespeople!$A$2:$A$11,Salespeople!$C$2:$C$11)</f>
        <v>Americas</v>
      </c>
      <c r="G75" t="str">
        <f>_xlfn.XLOOKUP(C75,Salespeople!$A$2:$A$11,Salespeople!$D$2:$D$11)</f>
        <v>Mexico</v>
      </c>
      <c r="H75" s="3">
        <v>22</v>
      </c>
      <c r="I75" s="5"/>
      <c r="J75" s="5"/>
      <c r="K75" s="8"/>
      <c r="O75" s="8"/>
    </row>
    <row r="76" spans="1:15" x14ac:dyDescent="0.45">
      <c r="A76" t="s">
        <v>158</v>
      </c>
      <c r="B76" s="4">
        <v>45473</v>
      </c>
      <c r="C76" t="s">
        <v>38</v>
      </c>
      <c r="D76" t="s">
        <v>91</v>
      </c>
      <c r="E76" t="s">
        <v>48</v>
      </c>
      <c r="F76" t="str">
        <f>_xlfn.XLOOKUP(C76,Salespeople!$A$2:$A$11,Salespeople!$C$2:$C$11)</f>
        <v>Americas</v>
      </c>
      <c r="G76" t="str">
        <f>_xlfn.XLOOKUP(C76,Salespeople!$A$2:$A$11,Salespeople!$D$2:$D$11)</f>
        <v>Brazil</v>
      </c>
      <c r="H76" s="3">
        <v>20</v>
      </c>
      <c r="I76" s="5"/>
      <c r="J76" s="5"/>
      <c r="K76" s="8"/>
      <c r="O76" s="8"/>
    </row>
    <row r="77" spans="1:15" x14ac:dyDescent="0.45">
      <c r="A77" t="s">
        <v>159</v>
      </c>
      <c r="B77" s="4">
        <v>45413</v>
      </c>
      <c r="C77" t="s">
        <v>26</v>
      </c>
      <c r="D77" t="s">
        <v>53</v>
      </c>
      <c r="E77" t="s">
        <v>23</v>
      </c>
      <c r="F77" t="str">
        <f>_xlfn.XLOOKUP(C77,Salespeople!$A$2:$A$11,Salespeople!$C$2:$C$11)</f>
        <v>APAC</v>
      </c>
      <c r="G77" t="str">
        <f>_xlfn.XLOOKUP(C77,Salespeople!$A$2:$A$11,Salespeople!$D$2:$D$11)</f>
        <v>Singapore</v>
      </c>
      <c r="H77" s="3">
        <v>14</v>
      </c>
      <c r="I77" s="5"/>
      <c r="J77" s="5"/>
      <c r="K77" s="8"/>
      <c r="O77" s="8"/>
    </row>
    <row r="78" spans="1:15" x14ac:dyDescent="0.45">
      <c r="A78" t="s">
        <v>160</v>
      </c>
      <c r="B78" s="4">
        <v>45383</v>
      </c>
      <c r="C78" t="s">
        <v>83</v>
      </c>
      <c r="D78" t="s">
        <v>53</v>
      </c>
      <c r="E78" t="s">
        <v>48</v>
      </c>
      <c r="F78" t="str">
        <f>_xlfn.XLOOKUP(C78,Salespeople!$A$2:$A$11,Salespeople!$C$2:$C$11)</f>
        <v>EMEA</v>
      </c>
      <c r="G78" t="str">
        <f>_xlfn.XLOOKUP(C78,Salespeople!$A$2:$A$11,Salespeople!$D$2:$D$11)</f>
        <v>United Arab Emirates</v>
      </c>
      <c r="H78" s="3">
        <v>22</v>
      </c>
      <c r="I78" s="5"/>
      <c r="J78" s="5"/>
      <c r="K78" s="8"/>
      <c r="O78" s="8"/>
    </row>
    <row r="79" spans="1:15" x14ac:dyDescent="0.45">
      <c r="A79" t="s">
        <v>161</v>
      </c>
      <c r="B79" s="4">
        <v>45428</v>
      </c>
      <c r="C79" t="s">
        <v>26</v>
      </c>
      <c r="D79" t="s">
        <v>53</v>
      </c>
      <c r="E79" t="s">
        <v>14</v>
      </c>
      <c r="F79" t="str">
        <f>_xlfn.XLOOKUP(C79,Salespeople!$A$2:$A$11,Salespeople!$C$2:$C$11)</f>
        <v>APAC</v>
      </c>
      <c r="G79" t="str">
        <f>_xlfn.XLOOKUP(C79,Salespeople!$A$2:$A$11,Salespeople!$D$2:$D$11)</f>
        <v>Singapore</v>
      </c>
      <c r="H79" s="3">
        <v>4</v>
      </c>
      <c r="I79" s="5"/>
      <c r="J79" s="5"/>
      <c r="K79" s="8"/>
      <c r="O79" s="8"/>
    </row>
    <row r="80" spans="1:15" x14ac:dyDescent="0.45">
      <c r="A80" t="s">
        <v>162</v>
      </c>
      <c r="B80" s="4">
        <v>45311</v>
      </c>
      <c r="C80" t="s">
        <v>60</v>
      </c>
      <c r="D80" t="s">
        <v>88</v>
      </c>
      <c r="E80" t="s">
        <v>23</v>
      </c>
      <c r="F80" t="str">
        <f>_xlfn.XLOOKUP(C80,Salespeople!$A$2:$A$11,Salespeople!$C$2:$C$11)</f>
        <v>APAC</v>
      </c>
      <c r="G80" t="str">
        <f>_xlfn.XLOOKUP(C80,Salespeople!$A$2:$A$11,Salespeople!$D$2:$D$11)</f>
        <v>Japan</v>
      </c>
      <c r="H80" s="3">
        <v>15</v>
      </c>
      <c r="I80" s="5"/>
      <c r="J80" s="5"/>
      <c r="K80" s="8"/>
      <c r="O80" s="8"/>
    </row>
    <row r="81" spans="1:15" x14ac:dyDescent="0.45">
      <c r="A81" t="s">
        <v>163</v>
      </c>
      <c r="B81" s="4">
        <v>45448</v>
      </c>
      <c r="C81" t="s">
        <v>51</v>
      </c>
      <c r="D81" t="s">
        <v>88</v>
      </c>
      <c r="E81" t="s">
        <v>23</v>
      </c>
      <c r="F81" t="str">
        <f>_xlfn.XLOOKUP(C81,Salespeople!$A$2:$A$11,Salespeople!$C$2:$C$11)</f>
        <v>Americas</v>
      </c>
      <c r="G81" t="str">
        <f>_xlfn.XLOOKUP(C81,Salespeople!$A$2:$A$11,Salespeople!$D$2:$D$11)</f>
        <v>Mexico</v>
      </c>
      <c r="H81" s="3">
        <v>22</v>
      </c>
      <c r="I81" s="5"/>
      <c r="J81" s="5"/>
      <c r="K81" s="8"/>
      <c r="O81" s="8"/>
    </row>
    <row r="82" spans="1:15" x14ac:dyDescent="0.45">
      <c r="A82" t="s">
        <v>164</v>
      </c>
      <c r="B82" s="4">
        <v>45496</v>
      </c>
      <c r="C82" t="s">
        <v>83</v>
      </c>
      <c r="D82" t="s">
        <v>79</v>
      </c>
      <c r="E82" t="s">
        <v>23</v>
      </c>
      <c r="F82" t="str">
        <f>_xlfn.XLOOKUP(C82,Salespeople!$A$2:$A$11,Salespeople!$C$2:$C$11)</f>
        <v>EMEA</v>
      </c>
      <c r="G82" t="str">
        <f>_xlfn.XLOOKUP(C82,Salespeople!$A$2:$A$11,Salespeople!$D$2:$D$11)</f>
        <v>United Arab Emirates</v>
      </c>
      <c r="H82" s="3">
        <v>25</v>
      </c>
      <c r="I82" s="5"/>
      <c r="J82" s="5"/>
      <c r="K82" s="8"/>
      <c r="O82" s="8"/>
    </row>
    <row r="83" spans="1:15" x14ac:dyDescent="0.45">
      <c r="A83" t="s">
        <v>165</v>
      </c>
      <c r="B83" s="4">
        <v>45471</v>
      </c>
      <c r="C83" t="s">
        <v>38</v>
      </c>
      <c r="D83" t="s">
        <v>44</v>
      </c>
      <c r="E83" t="s">
        <v>14</v>
      </c>
      <c r="F83" t="str">
        <f>_xlfn.XLOOKUP(C83,Salespeople!$A$2:$A$11,Salespeople!$C$2:$C$11)</f>
        <v>Americas</v>
      </c>
      <c r="G83" t="str">
        <f>_xlfn.XLOOKUP(C83,Salespeople!$A$2:$A$11,Salespeople!$D$2:$D$11)</f>
        <v>Brazil</v>
      </c>
      <c r="H83" s="3">
        <v>18</v>
      </c>
      <c r="I83" s="5"/>
      <c r="J83" s="5"/>
      <c r="K83" s="8"/>
      <c r="O83" s="8"/>
    </row>
    <row r="84" spans="1:15" x14ac:dyDescent="0.45">
      <c r="A84" t="s">
        <v>166</v>
      </c>
      <c r="B84" s="4">
        <v>45306</v>
      </c>
      <c r="C84" t="s">
        <v>17</v>
      </c>
      <c r="D84" t="s">
        <v>91</v>
      </c>
      <c r="E84" t="s">
        <v>48</v>
      </c>
      <c r="F84" t="str">
        <f>_xlfn.XLOOKUP(C84,Salespeople!$A$2:$A$11,Salespeople!$C$2:$C$11)</f>
        <v>EMEA</v>
      </c>
      <c r="G84" t="str">
        <f>_xlfn.XLOOKUP(C84,Salespeople!$A$2:$A$11,Salespeople!$D$2:$D$11)</f>
        <v>Portugal</v>
      </c>
      <c r="H84" s="3">
        <v>6</v>
      </c>
      <c r="I84" s="5"/>
      <c r="J84" s="5"/>
      <c r="K84" s="8"/>
      <c r="O84" s="8"/>
    </row>
    <row r="85" spans="1:15" x14ac:dyDescent="0.45">
      <c r="A85" t="s">
        <v>167</v>
      </c>
      <c r="B85" s="4">
        <v>45311</v>
      </c>
      <c r="C85" t="s">
        <v>17</v>
      </c>
      <c r="D85" t="s">
        <v>40</v>
      </c>
      <c r="E85" t="s">
        <v>48</v>
      </c>
      <c r="F85" t="str">
        <f>_xlfn.XLOOKUP(C85,Salespeople!$A$2:$A$11,Salespeople!$C$2:$C$11)</f>
        <v>EMEA</v>
      </c>
      <c r="G85" t="str">
        <f>_xlfn.XLOOKUP(C85,Salespeople!$A$2:$A$11,Salespeople!$D$2:$D$11)</f>
        <v>Portugal</v>
      </c>
      <c r="H85" s="3">
        <v>12</v>
      </c>
      <c r="I85" s="5"/>
      <c r="J85" s="5"/>
      <c r="K85" s="8"/>
      <c r="O85" s="8"/>
    </row>
    <row r="86" spans="1:15" x14ac:dyDescent="0.45">
      <c r="A86" t="s">
        <v>168</v>
      </c>
      <c r="B86" s="4">
        <v>45515</v>
      </c>
      <c r="C86" t="s">
        <v>139</v>
      </c>
      <c r="D86" t="s">
        <v>62</v>
      </c>
      <c r="E86" t="s">
        <v>23</v>
      </c>
      <c r="F86" t="str">
        <f>_xlfn.XLOOKUP(C86,Salespeople!$A$2:$A$11,Salespeople!$C$2:$C$11)</f>
        <v>Americas</v>
      </c>
      <c r="G86" t="str">
        <f>_xlfn.XLOOKUP(C86,Salespeople!$A$2:$A$11,Salespeople!$D$2:$D$11)</f>
        <v>Canada</v>
      </c>
      <c r="H86" s="3">
        <v>13</v>
      </c>
      <c r="I86" s="5"/>
      <c r="J86" s="5"/>
      <c r="K86" s="8"/>
      <c r="O86" s="8"/>
    </row>
    <row r="87" spans="1:15" x14ac:dyDescent="0.45">
      <c r="A87" t="s">
        <v>169</v>
      </c>
      <c r="B87" s="4">
        <v>45422</v>
      </c>
      <c r="C87" t="s">
        <v>131</v>
      </c>
      <c r="D87" t="s">
        <v>28</v>
      </c>
      <c r="E87" t="s">
        <v>48</v>
      </c>
      <c r="F87" t="str">
        <f>_xlfn.XLOOKUP(C87,Salespeople!$A$2:$A$11,Salespeople!$C$2:$C$11)</f>
        <v>EMEA</v>
      </c>
      <c r="G87" t="str">
        <f>_xlfn.XLOOKUP(C87,Salespeople!$A$2:$A$11,Salespeople!$D$2:$D$11)</f>
        <v>United Kingdom</v>
      </c>
      <c r="H87" s="3">
        <v>1</v>
      </c>
      <c r="I87" s="5"/>
      <c r="J87" s="5"/>
      <c r="K87" s="8"/>
      <c r="O87" s="8"/>
    </row>
    <row r="88" spans="1:15" x14ac:dyDescent="0.45">
      <c r="A88" t="s">
        <v>170</v>
      </c>
      <c r="B88" s="4">
        <v>45478</v>
      </c>
      <c r="C88" t="s">
        <v>33</v>
      </c>
      <c r="D88" t="s">
        <v>134</v>
      </c>
      <c r="E88" t="s">
        <v>14</v>
      </c>
      <c r="F88" t="str">
        <f>_xlfn.XLOOKUP(C88,Salespeople!$A$2:$A$11,Salespeople!$C$2:$C$11)</f>
        <v>EMEA</v>
      </c>
      <c r="G88" t="str">
        <f>_xlfn.XLOOKUP(C88,Salespeople!$A$2:$A$11,Salespeople!$D$2:$D$11)</f>
        <v>Kenya</v>
      </c>
      <c r="H88" s="3">
        <v>11</v>
      </c>
      <c r="I88" s="5"/>
      <c r="J88" s="5"/>
      <c r="K88" s="8"/>
      <c r="O88" s="8"/>
    </row>
    <row r="89" spans="1:15" x14ac:dyDescent="0.45">
      <c r="A89" t="s">
        <v>171</v>
      </c>
      <c r="B89" s="4">
        <v>45631</v>
      </c>
      <c r="C89" t="s">
        <v>17</v>
      </c>
      <c r="D89" t="s">
        <v>28</v>
      </c>
      <c r="E89" t="s">
        <v>48</v>
      </c>
      <c r="F89" t="str">
        <f>_xlfn.XLOOKUP(C89,Salespeople!$A$2:$A$11,Salespeople!$C$2:$C$11)</f>
        <v>EMEA</v>
      </c>
      <c r="G89" t="str">
        <f>_xlfn.XLOOKUP(C89,Salespeople!$A$2:$A$11,Salespeople!$D$2:$D$11)</f>
        <v>Portugal</v>
      </c>
      <c r="H89" s="3">
        <v>17</v>
      </c>
      <c r="I89" s="5"/>
      <c r="J89" s="5"/>
      <c r="K89" s="8"/>
      <c r="O89" s="8"/>
    </row>
    <row r="90" spans="1:15" x14ac:dyDescent="0.45">
      <c r="A90" t="s">
        <v>172</v>
      </c>
      <c r="B90" s="4">
        <v>45633</v>
      </c>
      <c r="C90" t="s">
        <v>33</v>
      </c>
      <c r="D90" t="s">
        <v>56</v>
      </c>
      <c r="E90" t="s">
        <v>48</v>
      </c>
      <c r="F90" t="str">
        <f>_xlfn.XLOOKUP(C90,Salespeople!$A$2:$A$11,Salespeople!$C$2:$C$11)</f>
        <v>EMEA</v>
      </c>
      <c r="G90" t="str">
        <f>_xlfn.XLOOKUP(C90,Salespeople!$A$2:$A$11,Salespeople!$D$2:$D$11)</f>
        <v>Kenya</v>
      </c>
      <c r="H90" s="3">
        <v>23</v>
      </c>
      <c r="I90" s="5"/>
      <c r="J90" s="5"/>
      <c r="K90" s="8"/>
      <c r="O90" s="8"/>
    </row>
    <row r="91" spans="1:15" x14ac:dyDescent="0.45">
      <c r="A91" t="s">
        <v>173</v>
      </c>
      <c r="B91" s="4">
        <v>45575</v>
      </c>
      <c r="C91" t="s">
        <v>26</v>
      </c>
      <c r="D91" t="s">
        <v>88</v>
      </c>
      <c r="E91" t="s">
        <v>48</v>
      </c>
      <c r="F91" t="str">
        <f>_xlfn.XLOOKUP(C91,Salespeople!$A$2:$A$11,Salespeople!$C$2:$C$11)</f>
        <v>APAC</v>
      </c>
      <c r="G91" t="str">
        <f>_xlfn.XLOOKUP(C91,Salespeople!$A$2:$A$11,Salespeople!$D$2:$D$11)</f>
        <v>Singapore</v>
      </c>
      <c r="H91" s="3">
        <v>22</v>
      </c>
      <c r="I91" s="5"/>
      <c r="J91" s="5"/>
      <c r="K91" s="8"/>
      <c r="O91" s="8"/>
    </row>
    <row r="92" spans="1:15" x14ac:dyDescent="0.45">
      <c r="A92" t="s">
        <v>174</v>
      </c>
      <c r="B92" s="4">
        <v>45638</v>
      </c>
      <c r="C92" t="s">
        <v>26</v>
      </c>
      <c r="D92" t="s">
        <v>40</v>
      </c>
      <c r="E92" t="s">
        <v>14</v>
      </c>
      <c r="F92" t="str">
        <f>_xlfn.XLOOKUP(C92,Salespeople!$A$2:$A$11,Salespeople!$C$2:$C$11)</f>
        <v>APAC</v>
      </c>
      <c r="G92" t="str">
        <f>_xlfn.XLOOKUP(C92,Salespeople!$A$2:$A$11,Salespeople!$D$2:$D$11)</f>
        <v>Singapore</v>
      </c>
      <c r="H92" s="3">
        <v>10</v>
      </c>
      <c r="I92" s="5"/>
      <c r="J92" s="5"/>
      <c r="K92" s="8"/>
      <c r="O92" s="8"/>
    </row>
    <row r="93" spans="1:15" x14ac:dyDescent="0.45">
      <c r="A93" t="s">
        <v>175</v>
      </c>
      <c r="B93" s="4">
        <v>45572</v>
      </c>
      <c r="C93" t="s">
        <v>131</v>
      </c>
      <c r="D93" t="s">
        <v>79</v>
      </c>
      <c r="E93" t="s">
        <v>48</v>
      </c>
      <c r="F93" t="str">
        <f>_xlfn.XLOOKUP(C93,Salespeople!$A$2:$A$11,Salespeople!$C$2:$C$11)</f>
        <v>EMEA</v>
      </c>
      <c r="G93" t="str">
        <f>_xlfn.XLOOKUP(C93,Salespeople!$A$2:$A$11,Salespeople!$D$2:$D$11)</f>
        <v>United Kingdom</v>
      </c>
      <c r="H93" s="3">
        <v>7</v>
      </c>
      <c r="I93" s="5"/>
      <c r="J93" s="5"/>
      <c r="K93" s="8"/>
      <c r="O93" s="8"/>
    </row>
    <row r="94" spans="1:15" x14ac:dyDescent="0.45">
      <c r="A94" t="s">
        <v>176</v>
      </c>
      <c r="B94" s="4">
        <v>45588</v>
      </c>
      <c r="C94" t="s">
        <v>139</v>
      </c>
      <c r="D94" t="s">
        <v>74</v>
      </c>
      <c r="E94" t="s">
        <v>48</v>
      </c>
      <c r="F94" t="str">
        <f>_xlfn.XLOOKUP(C94,Salespeople!$A$2:$A$11,Salespeople!$C$2:$C$11)</f>
        <v>Americas</v>
      </c>
      <c r="G94" t="str">
        <f>_xlfn.XLOOKUP(C94,Salespeople!$A$2:$A$11,Salespeople!$D$2:$D$11)</f>
        <v>Canada</v>
      </c>
      <c r="H94" s="3">
        <v>15</v>
      </c>
      <c r="I94" s="5"/>
      <c r="J94" s="5"/>
      <c r="K94" s="8"/>
      <c r="O94" s="8"/>
    </row>
    <row r="95" spans="1:15" x14ac:dyDescent="0.45">
      <c r="A95" t="s">
        <v>177</v>
      </c>
      <c r="B95" s="4">
        <v>45518</v>
      </c>
      <c r="C95" t="s">
        <v>51</v>
      </c>
      <c r="D95" t="s">
        <v>62</v>
      </c>
      <c r="E95" t="s">
        <v>48</v>
      </c>
      <c r="F95" t="str">
        <f>_xlfn.XLOOKUP(C95,Salespeople!$A$2:$A$11,Salespeople!$C$2:$C$11)</f>
        <v>Americas</v>
      </c>
      <c r="G95" t="str">
        <f>_xlfn.XLOOKUP(C95,Salespeople!$A$2:$A$11,Salespeople!$D$2:$D$11)</f>
        <v>Mexico</v>
      </c>
      <c r="H95" s="3">
        <v>24</v>
      </c>
      <c r="I95" s="5"/>
      <c r="J95" s="5"/>
      <c r="K95" s="8"/>
      <c r="O95" s="8"/>
    </row>
    <row r="96" spans="1:15" x14ac:dyDescent="0.45">
      <c r="A96" t="s">
        <v>178</v>
      </c>
      <c r="B96" s="4">
        <v>45629</v>
      </c>
      <c r="C96" t="s">
        <v>17</v>
      </c>
      <c r="D96" t="s">
        <v>79</v>
      </c>
      <c r="E96" t="s">
        <v>14</v>
      </c>
      <c r="F96" t="str">
        <f>_xlfn.XLOOKUP(C96,Salespeople!$A$2:$A$11,Salespeople!$C$2:$C$11)</f>
        <v>EMEA</v>
      </c>
      <c r="G96" t="str">
        <f>_xlfn.XLOOKUP(C96,Salespeople!$A$2:$A$11,Salespeople!$D$2:$D$11)</f>
        <v>Portugal</v>
      </c>
      <c r="H96" s="3">
        <v>22</v>
      </c>
      <c r="I96" s="5"/>
      <c r="J96" s="5"/>
      <c r="K96" s="8"/>
      <c r="O96" s="8"/>
    </row>
    <row r="97" spans="1:15" x14ac:dyDescent="0.45">
      <c r="A97" t="s">
        <v>179</v>
      </c>
      <c r="B97" s="4">
        <v>45339</v>
      </c>
      <c r="C97" t="s">
        <v>51</v>
      </c>
      <c r="D97" t="s">
        <v>74</v>
      </c>
      <c r="E97" t="s">
        <v>48</v>
      </c>
      <c r="F97" t="str">
        <f>_xlfn.XLOOKUP(C97,Salespeople!$A$2:$A$11,Salespeople!$C$2:$C$11)</f>
        <v>Americas</v>
      </c>
      <c r="G97" t="str">
        <f>_xlfn.XLOOKUP(C97,Salespeople!$A$2:$A$11,Salespeople!$D$2:$D$11)</f>
        <v>Mexico</v>
      </c>
      <c r="H97" s="3">
        <v>8</v>
      </c>
      <c r="I97" s="5"/>
      <c r="J97" s="5"/>
      <c r="K97" s="8"/>
      <c r="O97" s="8"/>
    </row>
    <row r="98" spans="1:15" x14ac:dyDescent="0.45">
      <c r="A98" t="s">
        <v>180</v>
      </c>
      <c r="B98" s="4">
        <v>45367</v>
      </c>
      <c r="C98" t="s">
        <v>131</v>
      </c>
      <c r="D98" t="s">
        <v>19</v>
      </c>
      <c r="E98" t="s">
        <v>23</v>
      </c>
      <c r="F98" t="str">
        <f>_xlfn.XLOOKUP(C98,Salespeople!$A$2:$A$11,Salespeople!$C$2:$C$11)</f>
        <v>EMEA</v>
      </c>
      <c r="G98" t="str">
        <f>_xlfn.XLOOKUP(C98,Salespeople!$A$2:$A$11,Salespeople!$D$2:$D$11)</f>
        <v>United Kingdom</v>
      </c>
      <c r="H98" s="3">
        <v>16</v>
      </c>
      <c r="I98" s="5"/>
      <c r="J98" s="5"/>
      <c r="K98" s="8"/>
      <c r="O98" s="8"/>
    </row>
    <row r="99" spans="1:15" x14ac:dyDescent="0.45">
      <c r="A99" t="s">
        <v>181</v>
      </c>
      <c r="B99" s="4">
        <v>45525</v>
      </c>
      <c r="C99" t="s">
        <v>33</v>
      </c>
      <c r="D99" t="s">
        <v>91</v>
      </c>
      <c r="E99" t="s">
        <v>14</v>
      </c>
      <c r="F99" t="str">
        <f>_xlfn.XLOOKUP(C99,Salespeople!$A$2:$A$11,Salespeople!$C$2:$C$11)</f>
        <v>EMEA</v>
      </c>
      <c r="G99" t="str">
        <f>_xlfn.XLOOKUP(C99,Salespeople!$A$2:$A$11,Salespeople!$D$2:$D$11)</f>
        <v>Kenya</v>
      </c>
      <c r="H99" s="3">
        <v>19</v>
      </c>
      <c r="I99" s="5"/>
      <c r="J99" s="5"/>
      <c r="K99" s="8"/>
      <c r="O99" s="8"/>
    </row>
    <row r="100" spans="1:15" x14ac:dyDescent="0.45">
      <c r="A100" t="s">
        <v>182</v>
      </c>
      <c r="B100" s="4">
        <v>45648</v>
      </c>
      <c r="C100" t="s">
        <v>33</v>
      </c>
      <c r="D100" t="s">
        <v>103</v>
      </c>
      <c r="E100" t="s">
        <v>48</v>
      </c>
      <c r="F100" t="str">
        <f>_xlfn.XLOOKUP(C100,Salespeople!$A$2:$A$11,Salespeople!$C$2:$C$11)</f>
        <v>EMEA</v>
      </c>
      <c r="G100" t="str">
        <f>_xlfn.XLOOKUP(C100,Salespeople!$A$2:$A$11,Salespeople!$D$2:$D$11)</f>
        <v>Kenya</v>
      </c>
      <c r="H100" s="3">
        <v>8</v>
      </c>
      <c r="I100" s="5"/>
      <c r="J100" s="5"/>
      <c r="K100" s="8"/>
      <c r="O100" s="8"/>
    </row>
    <row r="101" spans="1:15" x14ac:dyDescent="0.45">
      <c r="A101" t="s">
        <v>183</v>
      </c>
      <c r="B101" s="4">
        <v>45627</v>
      </c>
      <c r="C101" t="s">
        <v>131</v>
      </c>
      <c r="D101" t="s">
        <v>91</v>
      </c>
      <c r="E101" t="s">
        <v>23</v>
      </c>
      <c r="F101" t="str">
        <f>_xlfn.XLOOKUP(C101,Salespeople!$A$2:$A$11,Salespeople!$C$2:$C$11)</f>
        <v>EMEA</v>
      </c>
      <c r="G101" t="str">
        <f>_xlfn.XLOOKUP(C101,Salespeople!$A$2:$A$11,Salespeople!$D$2:$D$11)</f>
        <v>United Kingdom</v>
      </c>
      <c r="H101" s="3">
        <v>25</v>
      </c>
      <c r="I101" s="5"/>
      <c r="J101" s="5"/>
      <c r="K101" s="8"/>
      <c r="O101" s="8"/>
    </row>
    <row r="102" spans="1:15" x14ac:dyDescent="0.45">
      <c r="A102" t="s">
        <v>184</v>
      </c>
      <c r="B102" s="4">
        <v>45404</v>
      </c>
      <c r="C102" t="s">
        <v>26</v>
      </c>
      <c r="D102" t="s">
        <v>53</v>
      </c>
      <c r="E102" t="s">
        <v>14</v>
      </c>
      <c r="F102" t="str">
        <f>_xlfn.XLOOKUP(C102,Salespeople!$A$2:$A$11,Salespeople!$C$2:$C$11)</f>
        <v>APAC</v>
      </c>
      <c r="G102" t="str">
        <f>_xlfn.XLOOKUP(C102,Salespeople!$A$2:$A$11,Salespeople!$D$2:$D$11)</f>
        <v>Singapore</v>
      </c>
      <c r="H102" s="3">
        <v>17</v>
      </c>
      <c r="I102" s="5"/>
      <c r="J102" s="5"/>
      <c r="K102" s="8"/>
      <c r="O102" s="8"/>
    </row>
    <row r="103" spans="1:15" x14ac:dyDescent="0.45">
      <c r="A103" t="s">
        <v>185</v>
      </c>
      <c r="B103" s="4">
        <v>45317</v>
      </c>
      <c r="C103" t="s">
        <v>38</v>
      </c>
      <c r="D103" t="s">
        <v>88</v>
      </c>
      <c r="E103" t="s">
        <v>23</v>
      </c>
      <c r="F103" t="str">
        <f>_xlfn.XLOOKUP(C103,Salespeople!$A$2:$A$11,Salespeople!$C$2:$C$11)</f>
        <v>Americas</v>
      </c>
      <c r="G103" t="str">
        <f>_xlfn.XLOOKUP(C103,Salespeople!$A$2:$A$11,Salespeople!$D$2:$D$11)</f>
        <v>Brazil</v>
      </c>
      <c r="H103" s="3">
        <v>15</v>
      </c>
      <c r="I103" s="5"/>
      <c r="J103" s="5"/>
      <c r="K103" s="8"/>
      <c r="O103" s="8"/>
    </row>
    <row r="104" spans="1:15" x14ac:dyDescent="0.45">
      <c r="A104" t="s">
        <v>186</v>
      </c>
      <c r="B104" s="4">
        <v>45529</v>
      </c>
      <c r="C104" t="s">
        <v>38</v>
      </c>
      <c r="D104" t="s">
        <v>62</v>
      </c>
      <c r="E104" t="s">
        <v>14</v>
      </c>
      <c r="F104" t="str">
        <f>_xlfn.XLOOKUP(C104,Salespeople!$A$2:$A$11,Salespeople!$C$2:$C$11)</f>
        <v>Americas</v>
      </c>
      <c r="G104" t="str">
        <f>_xlfn.XLOOKUP(C104,Salespeople!$A$2:$A$11,Salespeople!$D$2:$D$11)</f>
        <v>Brazil</v>
      </c>
      <c r="H104" s="3">
        <v>11</v>
      </c>
      <c r="I104" s="5"/>
      <c r="J104" s="5"/>
      <c r="K104" s="8"/>
      <c r="O104" s="8"/>
    </row>
    <row r="105" spans="1:15" x14ac:dyDescent="0.45">
      <c r="A105" t="s">
        <v>187</v>
      </c>
      <c r="B105" s="4">
        <v>45605</v>
      </c>
      <c r="C105" t="s">
        <v>38</v>
      </c>
      <c r="D105" t="s">
        <v>44</v>
      </c>
      <c r="E105" t="s">
        <v>14</v>
      </c>
      <c r="F105" t="str">
        <f>_xlfn.XLOOKUP(C105,Salespeople!$A$2:$A$11,Salespeople!$C$2:$C$11)</f>
        <v>Americas</v>
      </c>
      <c r="G105" t="str">
        <f>_xlfn.XLOOKUP(C105,Salespeople!$A$2:$A$11,Salespeople!$D$2:$D$11)</f>
        <v>Brazil</v>
      </c>
      <c r="H105" s="3">
        <v>15</v>
      </c>
      <c r="I105" s="5"/>
      <c r="J105" s="5"/>
      <c r="K105" s="8"/>
      <c r="O105" s="8"/>
    </row>
    <row r="106" spans="1:15" x14ac:dyDescent="0.45">
      <c r="A106" t="s">
        <v>188</v>
      </c>
      <c r="B106" s="4">
        <v>45535</v>
      </c>
      <c r="C106" t="s">
        <v>60</v>
      </c>
      <c r="D106" t="s">
        <v>79</v>
      </c>
      <c r="E106" t="s">
        <v>23</v>
      </c>
      <c r="F106" t="str">
        <f>_xlfn.XLOOKUP(C106,Salespeople!$A$2:$A$11,Salespeople!$C$2:$C$11)</f>
        <v>APAC</v>
      </c>
      <c r="G106" t="str">
        <f>_xlfn.XLOOKUP(C106,Salespeople!$A$2:$A$11,Salespeople!$D$2:$D$11)</f>
        <v>Japan</v>
      </c>
      <c r="H106" s="3">
        <v>21</v>
      </c>
      <c r="I106" s="5"/>
      <c r="J106" s="5"/>
      <c r="K106" s="8"/>
      <c r="O106" s="8"/>
    </row>
    <row r="107" spans="1:15" x14ac:dyDescent="0.45">
      <c r="A107" t="s">
        <v>189</v>
      </c>
      <c r="B107" s="4">
        <v>45558</v>
      </c>
      <c r="C107" t="s">
        <v>60</v>
      </c>
      <c r="D107" t="s">
        <v>74</v>
      </c>
      <c r="E107" t="s">
        <v>23</v>
      </c>
      <c r="F107" t="str">
        <f>_xlfn.XLOOKUP(C107,Salespeople!$A$2:$A$11,Salespeople!$C$2:$C$11)</f>
        <v>APAC</v>
      </c>
      <c r="G107" t="str">
        <f>_xlfn.XLOOKUP(C107,Salespeople!$A$2:$A$11,Salespeople!$D$2:$D$11)</f>
        <v>Japan</v>
      </c>
      <c r="H107" s="3">
        <v>9</v>
      </c>
      <c r="I107" s="5"/>
      <c r="J107" s="5"/>
      <c r="K107" s="8"/>
      <c r="O107" s="8"/>
    </row>
    <row r="108" spans="1:15" x14ac:dyDescent="0.45">
      <c r="A108" t="s">
        <v>190</v>
      </c>
      <c r="B108" s="4">
        <v>45331</v>
      </c>
      <c r="C108" t="s">
        <v>66</v>
      </c>
      <c r="D108" t="s">
        <v>88</v>
      </c>
      <c r="E108" t="s">
        <v>48</v>
      </c>
      <c r="F108" t="str">
        <f>_xlfn.XLOOKUP(C108,Salespeople!$A$2:$A$11,Salespeople!$C$2:$C$11)</f>
        <v>Americas</v>
      </c>
      <c r="G108" t="str">
        <f>_xlfn.XLOOKUP(C108,Salespeople!$A$2:$A$11,Salespeople!$D$2:$D$11)</f>
        <v>United States</v>
      </c>
      <c r="H108" s="3">
        <v>11</v>
      </c>
      <c r="I108" s="5"/>
      <c r="J108" s="5"/>
      <c r="K108" s="8"/>
      <c r="O108" s="8"/>
    </row>
    <row r="109" spans="1:15" x14ac:dyDescent="0.45">
      <c r="A109" t="s">
        <v>191</v>
      </c>
      <c r="B109" s="4">
        <v>45568</v>
      </c>
      <c r="C109" t="s">
        <v>17</v>
      </c>
      <c r="D109" t="s">
        <v>121</v>
      </c>
      <c r="E109" t="s">
        <v>23</v>
      </c>
      <c r="F109" t="str">
        <f>_xlfn.XLOOKUP(C109,Salespeople!$A$2:$A$11,Salespeople!$C$2:$C$11)</f>
        <v>EMEA</v>
      </c>
      <c r="G109" t="str">
        <f>_xlfn.XLOOKUP(C109,Salespeople!$A$2:$A$11,Salespeople!$D$2:$D$11)</f>
        <v>Portugal</v>
      </c>
      <c r="H109" s="3">
        <v>8</v>
      </c>
      <c r="I109" s="5"/>
      <c r="J109" s="5"/>
      <c r="K109" s="8"/>
      <c r="O109" s="8"/>
    </row>
    <row r="110" spans="1:15" x14ac:dyDescent="0.45">
      <c r="A110" t="s">
        <v>192</v>
      </c>
      <c r="B110" s="4">
        <v>45647</v>
      </c>
      <c r="C110" t="s">
        <v>26</v>
      </c>
      <c r="D110" t="s">
        <v>28</v>
      </c>
      <c r="E110" t="s">
        <v>23</v>
      </c>
      <c r="F110" t="str">
        <f>_xlfn.XLOOKUP(C110,Salespeople!$A$2:$A$11,Salespeople!$C$2:$C$11)</f>
        <v>APAC</v>
      </c>
      <c r="G110" t="str">
        <f>_xlfn.XLOOKUP(C110,Salespeople!$A$2:$A$11,Salespeople!$D$2:$D$11)</f>
        <v>Singapore</v>
      </c>
      <c r="H110" s="3">
        <v>3</v>
      </c>
      <c r="I110" s="5"/>
      <c r="J110" s="5"/>
      <c r="K110" s="8"/>
      <c r="O110" s="8"/>
    </row>
    <row r="111" spans="1:15" x14ac:dyDescent="0.45">
      <c r="A111" t="s">
        <v>193</v>
      </c>
      <c r="B111" s="4">
        <v>45500</v>
      </c>
      <c r="C111" t="s">
        <v>83</v>
      </c>
      <c r="D111" t="s">
        <v>62</v>
      </c>
      <c r="E111" t="s">
        <v>48</v>
      </c>
      <c r="F111" t="str">
        <f>_xlfn.XLOOKUP(C111,Salespeople!$A$2:$A$11,Salespeople!$C$2:$C$11)</f>
        <v>EMEA</v>
      </c>
      <c r="G111" t="str">
        <f>_xlfn.XLOOKUP(C111,Salespeople!$A$2:$A$11,Salespeople!$D$2:$D$11)</f>
        <v>United Arab Emirates</v>
      </c>
      <c r="H111" s="3">
        <v>14</v>
      </c>
      <c r="I111" s="5"/>
      <c r="J111" s="5"/>
      <c r="K111" s="8"/>
      <c r="O111" s="8"/>
    </row>
    <row r="112" spans="1:15" x14ac:dyDescent="0.45">
      <c r="A112" t="s">
        <v>194</v>
      </c>
      <c r="B112" s="4">
        <v>45397</v>
      </c>
      <c r="C112" t="s">
        <v>33</v>
      </c>
      <c r="D112" t="s">
        <v>44</v>
      </c>
      <c r="E112" t="s">
        <v>14</v>
      </c>
      <c r="F112" t="str">
        <f>_xlfn.XLOOKUP(C112,Salespeople!$A$2:$A$11,Salespeople!$C$2:$C$11)</f>
        <v>EMEA</v>
      </c>
      <c r="G112" t="str">
        <f>_xlfn.XLOOKUP(C112,Salespeople!$A$2:$A$11,Salespeople!$D$2:$D$11)</f>
        <v>Kenya</v>
      </c>
      <c r="H112" s="3">
        <v>23</v>
      </c>
      <c r="I112" s="5"/>
      <c r="J112" s="5"/>
      <c r="K112" s="8"/>
      <c r="O112" s="8"/>
    </row>
    <row r="113" spans="1:15" x14ac:dyDescent="0.45">
      <c r="A113" t="s">
        <v>195</v>
      </c>
      <c r="B113" s="4">
        <v>45586</v>
      </c>
      <c r="C113" t="s">
        <v>33</v>
      </c>
      <c r="D113" t="s">
        <v>103</v>
      </c>
      <c r="E113" t="s">
        <v>23</v>
      </c>
      <c r="F113" t="str">
        <f>_xlfn.XLOOKUP(C113,Salespeople!$A$2:$A$11,Salespeople!$C$2:$C$11)</f>
        <v>EMEA</v>
      </c>
      <c r="G113" t="str">
        <f>_xlfn.XLOOKUP(C113,Salespeople!$A$2:$A$11,Salespeople!$D$2:$D$11)</f>
        <v>Kenya</v>
      </c>
      <c r="H113" s="3">
        <v>12</v>
      </c>
      <c r="I113" s="5"/>
      <c r="J113" s="5"/>
      <c r="K113" s="8"/>
      <c r="O113" s="8"/>
    </row>
    <row r="114" spans="1:15" x14ac:dyDescent="0.45">
      <c r="A114" t="s">
        <v>196</v>
      </c>
      <c r="B114" s="4">
        <v>45491</v>
      </c>
      <c r="C114" t="s">
        <v>33</v>
      </c>
      <c r="D114" t="s">
        <v>62</v>
      </c>
      <c r="E114" t="s">
        <v>14</v>
      </c>
      <c r="F114" t="str">
        <f>_xlfn.XLOOKUP(C114,Salespeople!$A$2:$A$11,Salespeople!$C$2:$C$11)</f>
        <v>EMEA</v>
      </c>
      <c r="G114" t="str">
        <f>_xlfn.XLOOKUP(C114,Salespeople!$A$2:$A$11,Salespeople!$D$2:$D$11)</f>
        <v>Kenya</v>
      </c>
      <c r="H114" s="3">
        <v>24</v>
      </c>
      <c r="I114" s="5"/>
      <c r="J114" s="5"/>
      <c r="K114" s="8"/>
      <c r="O114" s="8"/>
    </row>
    <row r="115" spans="1:15" x14ac:dyDescent="0.45">
      <c r="A115" t="s">
        <v>197</v>
      </c>
      <c r="B115" s="4">
        <v>45541</v>
      </c>
      <c r="C115" t="s">
        <v>51</v>
      </c>
      <c r="D115" t="s">
        <v>79</v>
      </c>
      <c r="E115" t="s">
        <v>48</v>
      </c>
      <c r="F115" t="str">
        <f>_xlfn.XLOOKUP(C115,Salespeople!$A$2:$A$11,Salespeople!$C$2:$C$11)</f>
        <v>Americas</v>
      </c>
      <c r="G115" t="str">
        <f>_xlfn.XLOOKUP(C115,Salespeople!$A$2:$A$11,Salespeople!$D$2:$D$11)</f>
        <v>Mexico</v>
      </c>
      <c r="H115" s="3">
        <v>16</v>
      </c>
      <c r="I115" s="5"/>
      <c r="J115" s="5"/>
      <c r="K115" s="8"/>
      <c r="O115" s="8"/>
    </row>
    <row r="116" spans="1:15" x14ac:dyDescent="0.45">
      <c r="A116" t="s">
        <v>198</v>
      </c>
      <c r="B116" s="4">
        <v>45491</v>
      </c>
      <c r="C116" t="s">
        <v>83</v>
      </c>
      <c r="D116" t="s">
        <v>74</v>
      </c>
      <c r="E116" t="s">
        <v>14</v>
      </c>
      <c r="F116" t="str">
        <f>_xlfn.XLOOKUP(C116,Salespeople!$A$2:$A$11,Salespeople!$C$2:$C$11)</f>
        <v>EMEA</v>
      </c>
      <c r="G116" t="str">
        <f>_xlfn.XLOOKUP(C116,Salespeople!$A$2:$A$11,Salespeople!$D$2:$D$11)</f>
        <v>United Arab Emirates</v>
      </c>
      <c r="H116" s="3">
        <v>13</v>
      </c>
      <c r="I116" s="5"/>
      <c r="J116" s="5"/>
      <c r="K116" s="8"/>
      <c r="O116" s="8"/>
    </row>
    <row r="117" spans="1:15" x14ac:dyDescent="0.45">
      <c r="A117" t="s">
        <v>199</v>
      </c>
      <c r="B117" s="4">
        <v>45531</v>
      </c>
      <c r="C117" t="s">
        <v>26</v>
      </c>
      <c r="D117" t="s">
        <v>40</v>
      </c>
      <c r="E117" t="s">
        <v>14</v>
      </c>
      <c r="F117" t="str">
        <f>_xlfn.XLOOKUP(C117,Salespeople!$A$2:$A$11,Salespeople!$C$2:$C$11)</f>
        <v>APAC</v>
      </c>
      <c r="G117" t="str">
        <f>_xlfn.XLOOKUP(C117,Salespeople!$A$2:$A$11,Salespeople!$D$2:$D$11)</f>
        <v>Singapore</v>
      </c>
      <c r="H117" s="3">
        <v>1</v>
      </c>
      <c r="I117" s="5"/>
      <c r="J117" s="5"/>
      <c r="K117" s="8"/>
      <c r="O117" s="8"/>
    </row>
    <row r="118" spans="1:15" x14ac:dyDescent="0.45">
      <c r="A118" t="s">
        <v>200</v>
      </c>
      <c r="B118" s="4">
        <v>45595</v>
      </c>
      <c r="C118" t="s">
        <v>139</v>
      </c>
      <c r="D118" t="s">
        <v>74</v>
      </c>
      <c r="E118" t="s">
        <v>23</v>
      </c>
      <c r="F118" t="str">
        <f>_xlfn.XLOOKUP(C118,Salespeople!$A$2:$A$11,Salespeople!$C$2:$C$11)</f>
        <v>Americas</v>
      </c>
      <c r="G118" t="str">
        <f>_xlfn.XLOOKUP(C118,Salespeople!$A$2:$A$11,Salespeople!$D$2:$D$11)</f>
        <v>Canada</v>
      </c>
      <c r="H118" s="3">
        <v>3</v>
      </c>
      <c r="I118" s="5"/>
      <c r="J118" s="5"/>
      <c r="K118" s="8"/>
      <c r="O118" s="8"/>
    </row>
    <row r="119" spans="1:15" x14ac:dyDescent="0.45">
      <c r="A119" t="s">
        <v>201</v>
      </c>
      <c r="B119" s="4">
        <v>45361</v>
      </c>
      <c r="C119" t="s">
        <v>60</v>
      </c>
      <c r="D119" t="s">
        <v>121</v>
      </c>
      <c r="E119" t="s">
        <v>23</v>
      </c>
      <c r="F119" t="str">
        <f>_xlfn.XLOOKUP(C119,Salespeople!$A$2:$A$11,Salespeople!$C$2:$C$11)</f>
        <v>APAC</v>
      </c>
      <c r="G119" t="str">
        <f>_xlfn.XLOOKUP(C119,Salespeople!$A$2:$A$11,Salespeople!$D$2:$D$11)</f>
        <v>Japan</v>
      </c>
      <c r="H119" s="3">
        <v>9</v>
      </c>
      <c r="I119" s="5"/>
      <c r="J119" s="5"/>
      <c r="K119" s="8"/>
      <c r="O119" s="8"/>
    </row>
    <row r="120" spans="1:15" x14ac:dyDescent="0.45">
      <c r="A120" t="s">
        <v>202</v>
      </c>
      <c r="B120" s="4">
        <v>45459</v>
      </c>
      <c r="C120" t="s">
        <v>51</v>
      </c>
      <c r="D120" t="s">
        <v>103</v>
      </c>
      <c r="E120" t="s">
        <v>48</v>
      </c>
      <c r="F120" t="str">
        <f>_xlfn.XLOOKUP(C120,Salespeople!$A$2:$A$11,Salespeople!$C$2:$C$11)</f>
        <v>Americas</v>
      </c>
      <c r="G120" t="str">
        <f>_xlfn.XLOOKUP(C120,Salespeople!$A$2:$A$11,Salespeople!$D$2:$D$11)</f>
        <v>Mexico</v>
      </c>
      <c r="H120" s="3">
        <v>11</v>
      </c>
      <c r="I120" s="5"/>
      <c r="J120" s="5"/>
      <c r="K120" s="8"/>
      <c r="O120" s="8"/>
    </row>
    <row r="121" spans="1:15" x14ac:dyDescent="0.45">
      <c r="A121" t="s">
        <v>203</v>
      </c>
      <c r="B121" s="4">
        <v>45434</v>
      </c>
      <c r="C121" t="s">
        <v>33</v>
      </c>
      <c r="D121" t="s">
        <v>79</v>
      </c>
      <c r="E121" t="s">
        <v>23</v>
      </c>
      <c r="F121" t="str">
        <f>_xlfn.XLOOKUP(C121,Salespeople!$A$2:$A$11,Salespeople!$C$2:$C$11)</f>
        <v>EMEA</v>
      </c>
      <c r="G121" t="str">
        <f>_xlfn.XLOOKUP(C121,Salespeople!$A$2:$A$11,Salespeople!$D$2:$D$11)</f>
        <v>Kenya</v>
      </c>
      <c r="H121" s="3">
        <v>16</v>
      </c>
      <c r="I121" s="5"/>
      <c r="J121" s="5"/>
      <c r="K121" s="8"/>
      <c r="O121" s="8"/>
    </row>
    <row r="122" spans="1:15" x14ac:dyDescent="0.45">
      <c r="A122" t="s">
        <v>204</v>
      </c>
      <c r="B122" s="4">
        <v>45568</v>
      </c>
      <c r="C122" t="s">
        <v>131</v>
      </c>
      <c r="D122" t="s">
        <v>56</v>
      </c>
      <c r="E122" t="s">
        <v>23</v>
      </c>
      <c r="F122" t="str">
        <f>_xlfn.XLOOKUP(C122,Salespeople!$A$2:$A$11,Salespeople!$C$2:$C$11)</f>
        <v>EMEA</v>
      </c>
      <c r="G122" t="str">
        <f>_xlfn.XLOOKUP(C122,Salespeople!$A$2:$A$11,Salespeople!$D$2:$D$11)</f>
        <v>United Kingdom</v>
      </c>
      <c r="H122" s="3">
        <v>21</v>
      </c>
      <c r="I122" s="5"/>
      <c r="J122" s="5"/>
      <c r="K122" s="8"/>
      <c r="O122" s="8"/>
    </row>
    <row r="123" spans="1:15" x14ac:dyDescent="0.45">
      <c r="A123" t="s">
        <v>205</v>
      </c>
      <c r="B123" s="4">
        <v>45625</v>
      </c>
      <c r="C123" t="s">
        <v>131</v>
      </c>
      <c r="D123" t="s">
        <v>53</v>
      </c>
      <c r="E123" t="s">
        <v>23</v>
      </c>
      <c r="F123" t="str">
        <f>_xlfn.XLOOKUP(C123,Salespeople!$A$2:$A$11,Salespeople!$C$2:$C$11)</f>
        <v>EMEA</v>
      </c>
      <c r="G123" t="str">
        <f>_xlfn.XLOOKUP(C123,Salespeople!$A$2:$A$11,Salespeople!$D$2:$D$11)</f>
        <v>United Kingdom</v>
      </c>
      <c r="H123" s="3">
        <v>8</v>
      </c>
      <c r="I123" s="5"/>
      <c r="J123" s="5"/>
      <c r="K123" s="8"/>
      <c r="O123" s="8"/>
    </row>
    <row r="124" spans="1:15" x14ac:dyDescent="0.45">
      <c r="A124" t="s">
        <v>206</v>
      </c>
      <c r="B124" s="4">
        <v>45302</v>
      </c>
      <c r="C124" t="s">
        <v>139</v>
      </c>
      <c r="D124" t="s">
        <v>121</v>
      </c>
      <c r="E124" t="s">
        <v>23</v>
      </c>
      <c r="F124" t="str">
        <f>_xlfn.XLOOKUP(C124,Salespeople!$A$2:$A$11,Salespeople!$C$2:$C$11)</f>
        <v>Americas</v>
      </c>
      <c r="G124" t="str">
        <f>_xlfn.XLOOKUP(C124,Salespeople!$A$2:$A$11,Salespeople!$D$2:$D$11)</f>
        <v>Canada</v>
      </c>
      <c r="H124" s="3">
        <v>5</v>
      </c>
      <c r="I124" s="5"/>
      <c r="J124" s="5"/>
      <c r="K124" s="8"/>
      <c r="O124" s="8"/>
    </row>
    <row r="125" spans="1:15" x14ac:dyDescent="0.45">
      <c r="A125" t="s">
        <v>207</v>
      </c>
      <c r="B125" s="4">
        <v>45634</v>
      </c>
      <c r="C125" t="s">
        <v>17</v>
      </c>
      <c r="D125" t="s">
        <v>40</v>
      </c>
      <c r="E125" t="s">
        <v>23</v>
      </c>
      <c r="F125" t="str">
        <f>_xlfn.XLOOKUP(C125,Salespeople!$A$2:$A$11,Salespeople!$C$2:$C$11)</f>
        <v>EMEA</v>
      </c>
      <c r="G125" t="str">
        <f>_xlfn.XLOOKUP(C125,Salespeople!$A$2:$A$11,Salespeople!$D$2:$D$11)</f>
        <v>Portugal</v>
      </c>
      <c r="H125" s="3">
        <v>15</v>
      </c>
      <c r="I125" s="5"/>
      <c r="J125" s="5"/>
      <c r="K125" s="8"/>
      <c r="O125" s="8"/>
    </row>
    <row r="126" spans="1:15" x14ac:dyDescent="0.45">
      <c r="A126" t="s">
        <v>208</v>
      </c>
      <c r="B126" s="4">
        <v>45480</v>
      </c>
      <c r="C126" t="s">
        <v>26</v>
      </c>
      <c r="D126" t="s">
        <v>40</v>
      </c>
      <c r="E126" t="s">
        <v>14</v>
      </c>
      <c r="F126" t="str">
        <f>_xlfn.XLOOKUP(C126,Salespeople!$A$2:$A$11,Salespeople!$C$2:$C$11)</f>
        <v>APAC</v>
      </c>
      <c r="G126" t="str">
        <f>_xlfn.XLOOKUP(C126,Salespeople!$A$2:$A$11,Salespeople!$D$2:$D$11)</f>
        <v>Singapore</v>
      </c>
      <c r="H126" s="3">
        <v>24</v>
      </c>
      <c r="I126" s="5"/>
      <c r="J126" s="5"/>
      <c r="K126" s="8"/>
      <c r="O126" s="8"/>
    </row>
    <row r="127" spans="1:15" x14ac:dyDescent="0.45">
      <c r="A127" t="s">
        <v>209</v>
      </c>
      <c r="B127" s="4">
        <v>45375</v>
      </c>
      <c r="C127" t="s">
        <v>66</v>
      </c>
      <c r="D127" t="s">
        <v>134</v>
      </c>
      <c r="E127" t="s">
        <v>14</v>
      </c>
      <c r="F127" t="str">
        <f>_xlfn.XLOOKUP(C127,Salespeople!$A$2:$A$11,Salespeople!$C$2:$C$11)</f>
        <v>Americas</v>
      </c>
      <c r="G127" t="str">
        <f>_xlfn.XLOOKUP(C127,Salespeople!$A$2:$A$11,Salespeople!$D$2:$D$11)</f>
        <v>United States</v>
      </c>
      <c r="H127" s="3">
        <v>1</v>
      </c>
      <c r="I127" s="5"/>
      <c r="J127" s="5"/>
      <c r="K127" s="8"/>
      <c r="O127" s="8"/>
    </row>
    <row r="128" spans="1:15" x14ac:dyDescent="0.45">
      <c r="A128" t="s">
        <v>210</v>
      </c>
      <c r="B128" s="4">
        <v>45586</v>
      </c>
      <c r="C128" t="s">
        <v>33</v>
      </c>
      <c r="D128" t="s">
        <v>44</v>
      </c>
      <c r="E128" t="s">
        <v>14</v>
      </c>
      <c r="F128" t="str">
        <f>_xlfn.XLOOKUP(C128,Salespeople!$A$2:$A$11,Salespeople!$C$2:$C$11)</f>
        <v>EMEA</v>
      </c>
      <c r="G128" t="str">
        <f>_xlfn.XLOOKUP(C128,Salespeople!$A$2:$A$11,Salespeople!$D$2:$D$11)</f>
        <v>Kenya</v>
      </c>
      <c r="H128" s="3">
        <v>7</v>
      </c>
      <c r="I128" s="5"/>
      <c r="J128" s="5"/>
      <c r="K128" s="8"/>
      <c r="O128" s="8"/>
    </row>
    <row r="129" spans="1:15" x14ac:dyDescent="0.45">
      <c r="A129" t="s">
        <v>211</v>
      </c>
      <c r="B129" s="4">
        <v>45595</v>
      </c>
      <c r="C129" t="s">
        <v>51</v>
      </c>
      <c r="D129" t="s">
        <v>134</v>
      </c>
      <c r="E129" t="s">
        <v>14</v>
      </c>
      <c r="F129" t="str">
        <f>_xlfn.XLOOKUP(C129,Salespeople!$A$2:$A$11,Salespeople!$C$2:$C$11)</f>
        <v>Americas</v>
      </c>
      <c r="G129" t="str">
        <f>_xlfn.XLOOKUP(C129,Salespeople!$A$2:$A$11,Salespeople!$D$2:$D$11)</f>
        <v>Mexico</v>
      </c>
      <c r="H129" s="3">
        <v>25</v>
      </c>
      <c r="I129" s="5"/>
      <c r="J129" s="5"/>
      <c r="K129" s="8"/>
      <c r="O129" s="8"/>
    </row>
    <row r="130" spans="1:15" x14ac:dyDescent="0.45">
      <c r="A130" t="s">
        <v>212</v>
      </c>
      <c r="B130" s="4">
        <v>45642</v>
      </c>
      <c r="C130" t="s">
        <v>139</v>
      </c>
      <c r="D130" t="s">
        <v>53</v>
      </c>
      <c r="E130" t="s">
        <v>23</v>
      </c>
      <c r="F130" t="str">
        <f>_xlfn.XLOOKUP(C130,Salespeople!$A$2:$A$11,Salespeople!$C$2:$C$11)</f>
        <v>Americas</v>
      </c>
      <c r="G130" t="str">
        <f>_xlfn.XLOOKUP(C130,Salespeople!$A$2:$A$11,Salespeople!$D$2:$D$11)</f>
        <v>Canada</v>
      </c>
      <c r="H130" s="3">
        <v>19</v>
      </c>
      <c r="I130" s="5"/>
      <c r="J130" s="5"/>
      <c r="K130" s="8"/>
      <c r="O130" s="8"/>
    </row>
    <row r="131" spans="1:15" x14ac:dyDescent="0.45">
      <c r="A131" t="s">
        <v>213</v>
      </c>
      <c r="B131" s="4">
        <v>45469</v>
      </c>
      <c r="C131" t="s">
        <v>38</v>
      </c>
      <c r="D131" t="s">
        <v>44</v>
      </c>
      <c r="E131" t="s">
        <v>14</v>
      </c>
      <c r="F131" t="str">
        <f>_xlfn.XLOOKUP(C131,Salespeople!$A$2:$A$11,Salespeople!$C$2:$C$11)</f>
        <v>Americas</v>
      </c>
      <c r="G131" t="str">
        <f>_xlfn.XLOOKUP(C131,Salespeople!$A$2:$A$11,Salespeople!$D$2:$D$11)</f>
        <v>Brazil</v>
      </c>
      <c r="H131" s="3">
        <v>12</v>
      </c>
      <c r="I131" s="5"/>
      <c r="J131" s="5"/>
      <c r="K131" s="8"/>
      <c r="O131" s="8"/>
    </row>
    <row r="132" spans="1:15" x14ac:dyDescent="0.45">
      <c r="A132" t="s">
        <v>214</v>
      </c>
      <c r="B132" s="4">
        <v>45551</v>
      </c>
      <c r="C132" t="s">
        <v>83</v>
      </c>
      <c r="D132" t="s">
        <v>19</v>
      </c>
      <c r="E132" t="s">
        <v>48</v>
      </c>
      <c r="F132" t="str">
        <f>_xlfn.XLOOKUP(C132,Salespeople!$A$2:$A$11,Salespeople!$C$2:$C$11)</f>
        <v>EMEA</v>
      </c>
      <c r="G132" t="str">
        <f>_xlfn.XLOOKUP(C132,Salespeople!$A$2:$A$11,Salespeople!$D$2:$D$11)</f>
        <v>United Arab Emirates</v>
      </c>
      <c r="H132" s="3">
        <v>16</v>
      </c>
      <c r="I132" s="5"/>
      <c r="J132" s="5"/>
      <c r="K132" s="8"/>
      <c r="O132" s="8"/>
    </row>
    <row r="133" spans="1:15" x14ac:dyDescent="0.45">
      <c r="A133" t="s">
        <v>215</v>
      </c>
      <c r="B133" s="4">
        <v>45513</v>
      </c>
      <c r="C133" t="s">
        <v>83</v>
      </c>
      <c r="D133" t="s">
        <v>74</v>
      </c>
      <c r="E133" t="s">
        <v>48</v>
      </c>
      <c r="F133" t="str">
        <f>_xlfn.XLOOKUP(C133,Salespeople!$A$2:$A$11,Salespeople!$C$2:$C$11)</f>
        <v>EMEA</v>
      </c>
      <c r="G133" t="str">
        <f>_xlfn.XLOOKUP(C133,Salespeople!$A$2:$A$11,Salespeople!$D$2:$D$11)</f>
        <v>United Arab Emirates</v>
      </c>
      <c r="H133" s="3">
        <v>23</v>
      </c>
      <c r="I133" s="5"/>
      <c r="J133" s="5"/>
      <c r="K133" s="8"/>
      <c r="O133" s="8"/>
    </row>
    <row r="134" spans="1:15" x14ac:dyDescent="0.45">
      <c r="A134" t="s">
        <v>216</v>
      </c>
      <c r="B134" s="4">
        <v>45514</v>
      </c>
      <c r="C134" t="s">
        <v>26</v>
      </c>
      <c r="D134" t="s">
        <v>28</v>
      </c>
      <c r="E134" t="s">
        <v>14</v>
      </c>
      <c r="F134" t="str">
        <f>_xlfn.XLOOKUP(C134,Salespeople!$A$2:$A$11,Salespeople!$C$2:$C$11)</f>
        <v>APAC</v>
      </c>
      <c r="G134" t="str">
        <f>_xlfn.XLOOKUP(C134,Salespeople!$A$2:$A$11,Salespeople!$D$2:$D$11)</f>
        <v>Singapore</v>
      </c>
      <c r="H134" s="3">
        <v>21</v>
      </c>
      <c r="I134" s="5"/>
      <c r="J134" s="5"/>
      <c r="K134" s="8"/>
      <c r="O134" s="8"/>
    </row>
    <row r="135" spans="1:15" x14ac:dyDescent="0.45">
      <c r="A135" t="s">
        <v>217</v>
      </c>
      <c r="B135" s="4">
        <v>45607</v>
      </c>
      <c r="C135" t="s">
        <v>38</v>
      </c>
      <c r="D135" t="s">
        <v>53</v>
      </c>
      <c r="E135" t="s">
        <v>48</v>
      </c>
      <c r="F135" t="str">
        <f>_xlfn.XLOOKUP(C135,Salespeople!$A$2:$A$11,Salespeople!$C$2:$C$11)</f>
        <v>Americas</v>
      </c>
      <c r="G135" t="str">
        <f>_xlfn.XLOOKUP(C135,Salespeople!$A$2:$A$11,Salespeople!$D$2:$D$11)</f>
        <v>Brazil</v>
      </c>
      <c r="H135" s="3">
        <v>15</v>
      </c>
      <c r="I135" s="5"/>
      <c r="J135" s="5"/>
      <c r="K135" s="8"/>
      <c r="O135" s="8"/>
    </row>
    <row r="136" spans="1:15" x14ac:dyDescent="0.45">
      <c r="A136" t="s">
        <v>218</v>
      </c>
      <c r="B136" s="4">
        <v>45595</v>
      </c>
      <c r="C136" t="s">
        <v>66</v>
      </c>
      <c r="D136" t="s">
        <v>56</v>
      </c>
      <c r="E136" t="s">
        <v>23</v>
      </c>
      <c r="F136" t="str">
        <f>_xlfn.XLOOKUP(C136,Salespeople!$A$2:$A$11,Salespeople!$C$2:$C$11)</f>
        <v>Americas</v>
      </c>
      <c r="G136" t="str">
        <f>_xlfn.XLOOKUP(C136,Salespeople!$A$2:$A$11,Salespeople!$D$2:$D$11)</f>
        <v>United States</v>
      </c>
      <c r="H136" s="3">
        <v>3</v>
      </c>
      <c r="I136" s="5"/>
      <c r="J136" s="5"/>
      <c r="K136" s="8"/>
      <c r="O136" s="8"/>
    </row>
    <row r="137" spans="1:15" x14ac:dyDescent="0.45">
      <c r="A137" t="s">
        <v>219</v>
      </c>
      <c r="B137" s="4">
        <v>45522</v>
      </c>
      <c r="C137" t="s">
        <v>51</v>
      </c>
      <c r="D137" t="s">
        <v>53</v>
      </c>
      <c r="E137" t="s">
        <v>48</v>
      </c>
      <c r="F137" t="str">
        <f>_xlfn.XLOOKUP(C137,Salespeople!$A$2:$A$11,Salespeople!$C$2:$C$11)</f>
        <v>Americas</v>
      </c>
      <c r="G137" t="str">
        <f>_xlfn.XLOOKUP(C137,Salespeople!$A$2:$A$11,Salespeople!$D$2:$D$11)</f>
        <v>Mexico</v>
      </c>
      <c r="H137" s="3">
        <v>19</v>
      </c>
      <c r="I137" s="5"/>
      <c r="J137" s="5"/>
      <c r="K137" s="8"/>
      <c r="O137" s="8"/>
    </row>
    <row r="138" spans="1:15" x14ac:dyDescent="0.45">
      <c r="A138" t="s">
        <v>220</v>
      </c>
      <c r="B138" s="4">
        <v>45464</v>
      </c>
      <c r="C138" t="s">
        <v>131</v>
      </c>
      <c r="D138" t="s">
        <v>103</v>
      </c>
      <c r="E138" t="s">
        <v>48</v>
      </c>
      <c r="F138" t="str">
        <f>_xlfn.XLOOKUP(C138,Salespeople!$A$2:$A$11,Salespeople!$C$2:$C$11)</f>
        <v>EMEA</v>
      </c>
      <c r="G138" t="str">
        <f>_xlfn.XLOOKUP(C138,Salespeople!$A$2:$A$11,Salespeople!$D$2:$D$11)</f>
        <v>United Kingdom</v>
      </c>
      <c r="H138" s="3">
        <v>6</v>
      </c>
      <c r="I138" s="5"/>
      <c r="J138" s="5"/>
      <c r="K138" s="8"/>
      <c r="O138" s="8"/>
    </row>
    <row r="139" spans="1:15" x14ac:dyDescent="0.45">
      <c r="A139" t="s">
        <v>221</v>
      </c>
      <c r="B139" s="4">
        <v>45400</v>
      </c>
      <c r="C139" t="s">
        <v>83</v>
      </c>
      <c r="D139" t="s">
        <v>53</v>
      </c>
      <c r="E139" t="s">
        <v>48</v>
      </c>
      <c r="F139" t="str">
        <f>_xlfn.XLOOKUP(C139,Salespeople!$A$2:$A$11,Salespeople!$C$2:$C$11)</f>
        <v>EMEA</v>
      </c>
      <c r="G139" t="str">
        <f>_xlfn.XLOOKUP(C139,Salespeople!$A$2:$A$11,Salespeople!$D$2:$D$11)</f>
        <v>United Arab Emirates</v>
      </c>
      <c r="H139" s="3">
        <v>11</v>
      </c>
      <c r="I139" s="5"/>
      <c r="J139" s="5"/>
      <c r="K139" s="8"/>
      <c r="O139" s="8"/>
    </row>
    <row r="140" spans="1:15" x14ac:dyDescent="0.45">
      <c r="A140" t="s">
        <v>222</v>
      </c>
      <c r="B140" s="4">
        <v>45597</v>
      </c>
      <c r="C140" t="s">
        <v>66</v>
      </c>
      <c r="D140" t="s">
        <v>62</v>
      </c>
      <c r="E140" t="s">
        <v>23</v>
      </c>
      <c r="F140" t="str">
        <f>_xlfn.XLOOKUP(C140,Salespeople!$A$2:$A$11,Salespeople!$C$2:$C$11)</f>
        <v>Americas</v>
      </c>
      <c r="G140" t="str">
        <f>_xlfn.XLOOKUP(C140,Salespeople!$A$2:$A$11,Salespeople!$D$2:$D$11)</f>
        <v>United States</v>
      </c>
      <c r="H140" s="3">
        <v>17</v>
      </c>
      <c r="I140" s="5"/>
      <c r="J140" s="5"/>
      <c r="K140" s="8"/>
      <c r="O140" s="8"/>
    </row>
    <row r="141" spans="1:15" x14ac:dyDescent="0.45">
      <c r="A141" t="s">
        <v>223</v>
      </c>
      <c r="B141" s="4">
        <v>45335</v>
      </c>
      <c r="C141" t="s">
        <v>51</v>
      </c>
      <c r="D141" t="s">
        <v>28</v>
      </c>
      <c r="E141" t="s">
        <v>48</v>
      </c>
      <c r="F141" t="str">
        <f>_xlfn.XLOOKUP(C141,Salespeople!$A$2:$A$11,Salespeople!$C$2:$C$11)</f>
        <v>Americas</v>
      </c>
      <c r="G141" t="str">
        <f>_xlfn.XLOOKUP(C141,Salespeople!$A$2:$A$11,Salespeople!$D$2:$D$11)</f>
        <v>Mexico</v>
      </c>
      <c r="H141" s="3">
        <v>16</v>
      </c>
      <c r="I141" s="5"/>
      <c r="J141" s="5"/>
      <c r="K141" s="8"/>
      <c r="O141" s="8"/>
    </row>
    <row r="142" spans="1:15" x14ac:dyDescent="0.45">
      <c r="A142" t="s">
        <v>224</v>
      </c>
      <c r="B142" s="4">
        <v>45645</v>
      </c>
      <c r="C142" t="s">
        <v>60</v>
      </c>
      <c r="D142" t="s">
        <v>74</v>
      </c>
      <c r="E142" t="s">
        <v>14</v>
      </c>
      <c r="F142" t="str">
        <f>_xlfn.XLOOKUP(C142,Salespeople!$A$2:$A$11,Salespeople!$C$2:$C$11)</f>
        <v>APAC</v>
      </c>
      <c r="G142" t="str">
        <f>_xlfn.XLOOKUP(C142,Salespeople!$A$2:$A$11,Salespeople!$D$2:$D$11)</f>
        <v>Japan</v>
      </c>
      <c r="H142" s="3">
        <v>16</v>
      </c>
      <c r="I142" s="5"/>
      <c r="J142" s="5"/>
      <c r="K142" s="8"/>
      <c r="O142" s="8"/>
    </row>
    <row r="143" spans="1:15" x14ac:dyDescent="0.45">
      <c r="A143" t="s">
        <v>225</v>
      </c>
      <c r="B143" s="4">
        <v>45300</v>
      </c>
      <c r="C143" t="s">
        <v>17</v>
      </c>
      <c r="D143" t="s">
        <v>79</v>
      </c>
      <c r="E143" t="s">
        <v>23</v>
      </c>
      <c r="F143" t="str">
        <f>_xlfn.XLOOKUP(C143,Salespeople!$A$2:$A$11,Salespeople!$C$2:$C$11)</f>
        <v>EMEA</v>
      </c>
      <c r="G143" t="str">
        <f>_xlfn.XLOOKUP(C143,Salespeople!$A$2:$A$11,Salespeople!$D$2:$D$11)</f>
        <v>Portugal</v>
      </c>
      <c r="H143" s="3">
        <v>13</v>
      </c>
      <c r="I143" s="5"/>
      <c r="J143" s="5"/>
      <c r="K143" s="8"/>
      <c r="O143" s="8"/>
    </row>
    <row r="144" spans="1:15" x14ac:dyDescent="0.45">
      <c r="A144" t="s">
        <v>226</v>
      </c>
      <c r="B144" s="4">
        <v>45448</v>
      </c>
      <c r="C144" t="s">
        <v>139</v>
      </c>
      <c r="D144" t="s">
        <v>56</v>
      </c>
      <c r="E144" t="s">
        <v>48</v>
      </c>
      <c r="F144" t="str">
        <f>_xlfn.XLOOKUP(C144,Salespeople!$A$2:$A$11,Salespeople!$C$2:$C$11)</f>
        <v>Americas</v>
      </c>
      <c r="G144" t="str">
        <f>_xlfn.XLOOKUP(C144,Salespeople!$A$2:$A$11,Salespeople!$D$2:$D$11)</f>
        <v>Canada</v>
      </c>
      <c r="H144" s="3">
        <v>18</v>
      </c>
      <c r="I144" s="5"/>
      <c r="J144" s="5"/>
      <c r="K144" s="8"/>
      <c r="O144" s="8"/>
    </row>
    <row r="145" spans="1:15" x14ac:dyDescent="0.45">
      <c r="A145" t="s">
        <v>227</v>
      </c>
      <c r="B145" s="4">
        <v>45509</v>
      </c>
      <c r="C145" t="s">
        <v>38</v>
      </c>
      <c r="D145" t="s">
        <v>56</v>
      </c>
      <c r="E145" t="s">
        <v>48</v>
      </c>
      <c r="F145" t="str">
        <f>_xlfn.XLOOKUP(C145,Salespeople!$A$2:$A$11,Salespeople!$C$2:$C$11)</f>
        <v>Americas</v>
      </c>
      <c r="G145" t="str">
        <f>_xlfn.XLOOKUP(C145,Salespeople!$A$2:$A$11,Salespeople!$D$2:$D$11)</f>
        <v>Brazil</v>
      </c>
      <c r="H145" s="3">
        <v>23</v>
      </c>
      <c r="I145" s="5"/>
      <c r="J145" s="5"/>
      <c r="K145" s="8"/>
      <c r="O145" s="8"/>
    </row>
    <row r="146" spans="1:15" x14ac:dyDescent="0.45">
      <c r="A146" t="s">
        <v>228</v>
      </c>
      <c r="B146" s="4">
        <v>45430</v>
      </c>
      <c r="C146" t="s">
        <v>66</v>
      </c>
      <c r="D146" t="s">
        <v>79</v>
      </c>
      <c r="E146" t="s">
        <v>23</v>
      </c>
      <c r="F146" t="str">
        <f>_xlfn.XLOOKUP(C146,Salespeople!$A$2:$A$11,Salespeople!$C$2:$C$11)</f>
        <v>Americas</v>
      </c>
      <c r="G146" t="str">
        <f>_xlfn.XLOOKUP(C146,Salespeople!$A$2:$A$11,Salespeople!$D$2:$D$11)</f>
        <v>United States</v>
      </c>
      <c r="H146" s="3">
        <v>4</v>
      </c>
      <c r="I146" s="5"/>
      <c r="J146" s="5"/>
      <c r="K146" s="8"/>
      <c r="O146" s="8"/>
    </row>
    <row r="147" spans="1:15" x14ac:dyDescent="0.45">
      <c r="A147" t="s">
        <v>229</v>
      </c>
      <c r="B147" s="4">
        <v>45453</v>
      </c>
      <c r="C147" t="s">
        <v>17</v>
      </c>
      <c r="D147" t="s">
        <v>28</v>
      </c>
      <c r="E147" t="s">
        <v>14</v>
      </c>
      <c r="F147" t="str">
        <f>_xlfn.XLOOKUP(C147,Salespeople!$A$2:$A$11,Salespeople!$C$2:$C$11)</f>
        <v>EMEA</v>
      </c>
      <c r="G147" t="str">
        <f>_xlfn.XLOOKUP(C147,Salespeople!$A$2:$A$11,Salespeople!$D$2:$D$11)</f>
        <v>Portugal</v>
      </c>
      <c r="H147" s="3">
        <v>25</v>
      </c>
      <c r="I147" s="5"/>
      <c r="J147" s="5"/>
      <c r="K147" s="8"/>
      <c r="O147" s="8"/>
    </row>
    <row r="148" spans="1:15" x14ac:dyDescent="0.45">
      <c r="A148" t="s">
        <v>230</v>
      </c>
      <c r="B148" s="4">
        <v>45390</v>
      </c>
      <c r="C148" t="s">
        <v>51</v>
      </c>
      <c r="D148" t="s">
        <v>28</v>
      </c>
      <c r="E148" t="s">
        <v>48</v>
      </c>
      <c r="F148" t="str">
        <f>_xlfn.XLOOKUP(C148,Salespeople!$A$2:$A$11,Salespeople!$C$2:$C$11)</f>
        <v>Americas</v>
      </c>
      <c r="G148" t="str">
        <f>_xlfn.XLOOKUP(C148,Salespeople!$A$2:$A$11,Salespeople!$D$2:$D$11)</f>
        <v>Mexico</v>
      </c>
      <c r="H148" s="3">
        <v>9</v>
      </c>
      <c r="I148" s="5"/>
      <c r="J148" s="5"/>
      <c r="K148" s="8"/>
      <c r="O148" s="8"/>
    </row>
    <row r="149" spans="1:15" x14ac:dyDescent="0.45">
      <c r="A149" t="s">
        <v>231</v>
      </c>
      <c r="B149" s="4">
        <v>45343</v>
      </c>
      <c r="C149" t="s">
        <v>51</v>
      </c>
      <c r="D149" t="s">
        <v>79</v>
      </c>
      <c r="E149" t="s">
        <v>23</v>
      </c>
      <c r="F149" t="str">
        <f>_xlfn.XLOOKUP(C149,Salespeople!$A$2:$A$11,Salespeople!$C$2:$C$11)</f>
        <v>Americas</v>
      </c>
      <c r="G149" t="str">
        <f>_xlfn.XLOOKUP(C149,Salespeople!$A$2:$A$11,Salespeople!$D$2:$D$11)</f>
        <v>Mexico</v>
      </c>
      <c r="H149" s="3">
        <v>12</v>
      </c>
      <c r="I149" s="5"/>
      <c r="J149" s="5"/>
      <c r="K149" s="8"/>
      <c r="O149" s="8"/>
    </row>
    <row r="150" spans="1:15" x14ac:dyDescent="0.45">
      <c r="A150" t="s">
        <v>232</v>
      </c>
      <c r="B150" s="4">
        <v>45446</v>
      </c>
      <c r="C150" t="s">
        <v>131</v>
      </c>
      <c r="D150" t="s">
        <v>28</v>
      </c>
      <c r="E150" t="s">
        <v>14</v>
      </c>
      <c r="F150" t="str">
        <f>_xlfn.XLOOKUP(C150,Salespeople!$A$2:$A$11,Salespeople!$C$2:$C$11)</f>
        <v>EMEA</v>
      </c>
      <c r="G150" t="str">
        <f>_xlfn.XLOOKUP(C150,Salespeople!$A$2:$A$11,Salespeople!$D$2:$D$11)</f>
        <v>United Kingdom</v>
      </c>
      <c r="H150" s="3">
        <v>5</v>
      </c>
      <c r="I150" s="5"/>
      <c r="J150" s="5"/>
      <c r="K150" s="8"/>
      <c r="O150" s="8"/>
    </row>
    <row r="151" spans="1:15" x14ac:dyDescent="0.45">
      <c r="A151" t="s">
        <v>233</v>
      </c>
      <c r="B151" s="4">
        <v>45315</v>
      </c>
      <c r="C151" t="s">
        <v>131</v>
      </c>
      <c r="D151" t="s">
        <v>62</v>
      </c>
      <c r="E151" t="s">
        <v>48</v>
      </c>
      <c r="F151" t="str">
        <f>_xlfn.XLOOKUP(C151,Salespeople!$A$2:$A$11,Salespeople!$C$2:$C$11)</f>
        <v>EMEA</v>
      </c>
      <c r="G151" t="str">
        <f>_xlfn.XLOOKUP(C151,Salespeople!$A$2:$A$11,Salespeople!$D$2:$D$11)</f>
        <v>United Kingdom</v>
      </c>
      <c r="H151" s="3">
        <v>23</v>
      </c>
      <c r="I151" s="5"/>
      <c r="J151" s="5"/>
      <c r="K151" s="8"/>
      <c r="O151" s="8"/>
    </row>
    <row r="152" spans="1:15" x14ac:dyDescent="0.45">
      <c r="A152" t="s">
        <v>234</v>
      </c>
      <c r="B152" s="4">
        <v>45618</v>
      </c>
      <c r="C152" t="s">
        <v>60</v>
      </c>
      <c r="D152" t="s">
        <v>134</v>
      </c>
      <c r="E152" t="s">
        <v>23</v>
      </c>
      <c r="F152" t="str">
        <f>_xlfn.XLOOKUP(C152,Salespeople!$A$2:$A$11,Salespeople!$C$2:$C$11)</f>
        <v>APAC</v>
      </c>
      <c r="G152" t="str">
        <f>_xlfn.XLOOKUP(C152,Salespeople!$A$2:$A$11,Salespeople!$D$2:$D$11)</f>
        <v>Japan</v>
      </c>
      <c r="H152" s="3">
        <v>19</v>
      </c>
      <c r="I152" s="5"/>
      <c r="J152" s="5"/>
      <c r="K152" s="8"/>
      <c r="O152" s="8"/>
    </row>
    <row r="153" spans="1:15" x14ac:dyDescent="0.45">
      <c r="A153" t="s">
        <v>235</v>
      </c>
      <c r="B153" s="4">
        <v>45532</v>
      </c>
      <c r="C153" t="s">
        <v>60</v>
      </c>
      <c r="D153" t="s">
        <v>103</v>
      </c>
      <c r="E153" t="s">
        <v>48</v>
      </c>
      <c r="F153" t="str">
        <f>_xlfn.XLOOKUP(C153,Salespeople!$A$2:$A$11,Salespeople!$C$2:$C$11)</f>
        <v>APAC</v>
      </c>
      <c r="G153" t="str">
        <f>_xlfn.XLOOKUP(C153,Salespeople!$A$2:$A$11,Salespeople!$D$2:$D$11)</f>
        <v>Japan</v>
      </c>
      <c r="H153" s="3">
        <v>6</v>
      </c>
      <c r="I153" s="5"/>
      <c r="J153" s="5"/>
      <c r="K153" s="8"/>
      <c r="O153" s="8"/>
    </row>
    <row r="154" spans="1:15" x14ac:dyDescent="0.45">
      <c r="A154" t="s">
        <v>236</v>
      </c>
      <c r="B154" s="4">
        <v>45421</v>
      </c>
      <c r="C154" t="s">
        <v>60</v>
      </c>
      <c r="D154" t="s">
        <v>134</v>
      </c>
      <c r="E154" t="s">
        <v>23</v>
      </c>
      <c r="F154" t="str">
        <f>_xlfn.XLOOKUP(C154,Salespeople!$A$2:$A$11,Salespeople!$C$2:$C$11)</f>
        <v>APAC</v>
      </c>
      <c r="G154" t="str">
        <f>_xlfn.XLOOKUP(C154,Salespeople!$A$2:$A$11,Salespeople!$D$2:$D$11)</f>
        <v>Japan</v>
      </c>
      <c r="H154" s="3">
        <v>13</v>
      </c>
      <c r="I154" s="5"/>
      <c r="J154" s="5"/>
      <c r="K154" s="8"/>
      <c r="O154" s="8"/>
    </row>
    <row r="155" spans="1:15" x14ac:dyDescent="0.45">
      <c r="A155" t="s">
        <v>237</v>
      </c>
      <c r="B155" s="4">
        <v>45329</v>
      </c>
      <c r="C155" t="s">
        <v>139</v>
      </c>
      <c r="D155" t="s">
        <v>74</v>
      </c>
      <c r="E155" t="s">
        <v>14</v>
      </c>
      <c r="F155" t="str">
        <f>_xlfn.XLOOKUP(C155,Salespeople!$A$2:$A$11,Salespeople!$C$2:$C$11)</f>
        <v>Americas</v>
      </c>
      <c r="G155" t="str">
        <f>_xlfn.XLOOKUP(C155,Salespeople!$A$2:$A$11,Salespeople!$D$2:$D$11)</f>
        <v>Canada</v>
      </c>
      <c r="H155" s="3">
        <v>2</v>
      </c>
      <c r="I155" s="5"/>
      <c r="J155" s="5"/>
      <c r="K155" s="8"/>
      <c r="O155" s="8"/>
    </row>
    <row r="156" spans="1:15" x14ac:dyDescent="0.45">
      <c r="A156" t="s">
        <v>238</v>
      </c>
      <c r="B156" s="4">
        <v>45368</v>
      </c>
      <c r="C156" t="s">
        <v>139</v>
      </c>
      <c r="D156" t="s">
        <v>79</v>
      </c>
      <c r="E156" t="s">
        <v>23</v>
      </c>
      <c r="F156" t="str">
        <f>_xlfn.XLOOKUP(C156,Salespeople!$A$2:$A$11,Salespeople!$C$2:$C$11)</f>
        <v>Americas</v>
      </c>
      <c r="G156" t="str">
        <f>_xlfn.XLOOKUP(C156,Salespeople!$A$2:$A$11,Salespeople!$D$2:$D$11)</f>
        <v>Canada</v>
      </c>
      <c r="H156" s="3">
        <v>8</v>
      </c>
      <c r="I156" s="5"/>
      <c r="J156" s="5"/>
      <c r="K156" s="8"/>
      <c r="O156" s="8"/>
    </row>
    <row r="157" spans="1:15" x14ac:dyDescent="0.45">
      <c r="A157" t="s">
        <v>239</v>
      </c>
      <c r="B157" s="4">
        <v>45577</v>
      </c>
      <c r="C157" t="s">
        <v>33</v>
      </c>
      <c r="D157" t="s">
        <v>40</v>
      </c>
      <c r="E157" t="s">
        <v>14</v>
      </c>
      <c r="F157" t="str">
        <f>_xlfn.XLOOKUP(C157,Salespeople!$A$2:$A$11,Salespeople!$C$2:$C$11)</f>
        <v>EMEA</v>
      </c>
      <c r="G157" t="str">
        <f>_xlfn.XLOOKUP(C157,Salespeople!$A$2:$A$11,Salespeople!$D$2:$D$11)</f>
        <v>Kenya</v>
      </c>
      <c r="H157" s="3">
        <v>20</v>
      </c>
      <c r="I157" s="5"/>
      <c r="J157" s="5"/>
      <c r="K157" s="8"/>
      <c r="O157" s="8"/>
    </row>
    <row r="158" spans="1:15" x14ac:dyDescent="0.45">
      <c r="A158" t="s">
        <v>240</v>
      </c>
      <c r="B158" s="4">
        <v>45559</v>
      </c>
      <c r="C158" t="s">
        <v>33</v>
      </c>
      <c r="D158" t="s">
        <v>103</v>
      </c>
      <c r="E158" t="s">
        <v>48</v>
      </c>
      <c r="F158" t="str">
        <f>_xlfn.XLOOKUP(C158,Salespeople!$A$2:$A$11,Salespeople!$C$2:$C$11)</f>
        <v>EMEA</v>
      </c>
      <c r="G158" t="str">
        <f>_xlfn.XLOOKUP(C158,Salespeople!$A$2:$A$11,Salespeople!$D$2:$D$11)</f>
        <v>Kenya</v>
      </c>
      <c r="H158" s="3">
        <v>10</v>
      </c>
      <c r="I158" s="5"/>
      <c r="J158" s="5"/>
      <c r="K158" s="8"/>
      <c r="O158" s="8"/>
    </row>
    <row r="159" spans="1:15" x14ac:dyDescent="0.45">
      <c r="A159" t="s">
        <v>241</v>
      </c>
      <c r="B159" s="4">
        <v>45448</v>
      </c>
      <c r="C159" t="s">
        <v>139</v>
      </c>
      <c r="D159" t="s">
        <v>40</v>
      </c>
      <c r="E159" t="s">
        <v>23</v>
      </c>
      <c r="F159" t="str">
        <f>_xlfn.XLOOKUP(C159,Salespeople!$A$2:$A$11,Salespeople!$C$2:$C$11)</f>
        <v>Americas</v>
      </c>
      <c r="G159" t="str">
        <f>_xlfn.XLOOKUP(C159,Salespeople!$A$2:$A$11,Salespeople!$D$2:$D$11)</f>
        <v>Canada</v>
      </c>
      <c r="H159" s="3">
        <v>20</v>
      </c>
      <c r="I159" s="5"/>
      <c r="J159" s="5"/>
      <c r="K159" s="8"/>
      <c r="O159" s="8"/>
    </row>
    <row r="160" spans="1:15" x14ac:dyDescent="0.45">
      <c r="A160" t="s">
        <v>242</v>
      </c>
      <c r="B160" s="4">
        <v>45398</v>
      </c>
      <c r="C160" t="s">
        <v>51</v>
      </c>
      <c r="D160" t="s">
        <v>79</v>
      </c>
      <c r="E160" t="s">
        <v>14</v>
      </c>
      <c r="F160" t="str">
        <f>_xlfn.XLOOKUP(C160,Salespeople!$A$2:$A$11,Salespeople!$C$2:$C$11)</f>
        <v>Americas</v>
      </c>
      <c r="G160" t="str">
        <f>_xlfn.XLOOKUP(C160,Salespeople!$A$2:$A$11,Salespeople!$D$2:$D$11)</f>
        <v>Mexico</v>
      </c>
      <c r="H160" s="3">
        <v>3</v>
      </c>
      <c r="I160" s="5"/>
      <c r="J160" s="5"/>
      <c r="K160" s="8"/>
      <c r="O160" s="8"/>
    </row>
    <row r="161" spans="1:15" x14ac:dyDescent="0.45">
      <c r="A161" t="s">
        <v>243</v>
      </c>
      <c r="B161" s="4">
        <v>45414</v>
      </c>
      <c r="C161" t="s">
        <v>26</v>
      </c>
      <c r="D161" t="s">
        <v>62</v>
      </c>
      <c r="E161" t="s">
        <v>23</v>
      </c>
      <c r="F161" t="str">
        <f>_xlfn.XLOOKUP(C161,Salespeople!$A$2:$A$11,Salespeople!$C$2:$C$11)</f>
        <v>APAC</v>
      </c>
      <c r="G161" t="str">
        <f>_xlfn.XLOOKUP(C161,Salespeople!$A$2:$A$11,Salespeople!$D$2:$D$11)</f>
        <v>Singapore</v>
      </c>
      <c r="H161" s="3">
        <v>6</v>
      </c>
      <c r="I161" s="5"/>
      <c r="J161" s="5"/>
      <c r="K161" s="8"/>
      <c r="O161" s="8"/>
    </row>
    <row r="162" spans="1:15" x14ac:dyDescent="0.45">
      <c r="A162" t="s">
        <v>244</v>
      </c>
      <c r="B162" s="4">
        <v>45501</v>
      </c>
      <c r="C162" t="s">
        <v>60</v>
      </c>
      <c r="D162" t="s">
        <v>28</v>
      </c>
      <c r="E162" t="s">
        <v>14</v>
      </c>
      <c r="F162" t="str">
        <f>_xlfn.XLOOKUP(C162,Salespeople!$A$2:$A$11,Salespeople!$C$2:$C$11)</f>
        <v>APAC</v>
      </c>
      <c r="G162" t="str">
        <f>_xlfn.XLOOKUP(C162,Salespeople!$A$2:$A$11,Salespeople!$D$2:$D$11)</f>
        <v>Japan</v>
      </c>
      <c r="H162" s="3">
        <v>16</v>
      </c>
      <c r="I162" s="5"/>
      <c r="J162" s="5"/>
      <c r="K162" s="8"/>
      <c r="O162" s="8"/>
    </row>
    <row r="163" spans="1:15" x14ac:dyDescent="0.45">
      <c r="A163" t="s">
        <v>245</v>
      </c>
      <c r="B163" s="4">
        <v>45308</v>
      </c>
      <c r="C163" t="s">
        <v>51</v>
      </c>
      <c r="D163" t="s">
        <v>79</v>
      </c>
      <c r="E163" t="s">
        <v>14</v>
      </c>
      <c r="F163" t="str">
        <f>_xlfn.XLOOKUP(C163,Salespeople!$A$2:$A$11,Salespeople!$C$2:$C$11)</f>
        <v>Americas</v>
      </c>
      <c r="G163" t="str">
        <f>_xlfn.XLOOKUP(C163,Salespeople!$A$2:$A$11,Salespeople!$D$2:$D$11)</f>
        <v>Mexico</v>
      </c>
      <c r="H163" s="3">
        <v>10</v>
      </c>
      <c r="I163" s="5"/>
      <c r="J163" s="5"/>
      <c r="K163" s="8"/>
      <c r="O163" s="8"/>
    </row>
    <row r="164" spans="1:15" x14ac:dyDescent="0.45">
      <c r="A164" t="s">
        <v>246</v>
      </c>
      <c r="B164" s="4">
        <v>45328</v>
      </c>
      <c r="C164" t="s">
        <v>51</v>
      </c>
      <c r="D164" t="s">
        <v>91</v>
      </c>
      <c r="E164" t="s">
        <v>48</v>
      </c>
      <c r="F164" t="str">
        <f>_xlfn.XLOOKUP(C164,Salespeople!$A$2:$A$11,Salespeople!$C$2:$C$11)</f>
        <v>Americas</v>
      </c>
      <c r="G164" t="str">
        <f>_xlfn.XLOOKUP(C164,Salespeople!$A$2:$A$11,Salespeople!$D$2:$D$11)</f>
        <v>Mexico</v>
      </c>
      <c r="H164" s="3">
        <v>21</v>
      </c>
      <c r="I164" s="5"/>
      <c r="J164" s="5"/>
      <c r="K164" s="8"/>
      <c r="O164" s="8"/>
    </row>
    <row r="165" spans="1:15" x14ac:dyDescent="0.45">
      <c r="A165" t="s">
        <v>247</v>
      </c>
      <c r="B165" s="4">
        <v>45509</v>
      </c>
      <c r="C165" t="s">
        <v>17</v>
      </c>
      <c r="D165" t="s">
        <v>62</v>
      </c>
      <c r="E165" t="s">
        <v>23</v>
      </c>
      <c r="F165" t="str">
        <f>_xlfn.XLOOKUP(C165,Salespeople!$A$2:$A$11,Salespeople!$C$2:$C$11)</f>
        <v>EMEA</v>
      </c>
      <c r="G165" t="str">
        <f>_xlfn.XLOOKUP(C165,Salespeople!$A$2:$A$11,Salespeople!$D$2:$D$11)</f>
        <v>Portugal</v>
      </c>
      <c r="H165" s="3">
        <v>21</v>
      </c>
      <c r="I165" s="5"/>
      <c r="J165" s="5"/>
      <c r="K165" s="8"/>
      <c r="O165" s="8"/>
    </row>
    <row r="166" spans="1:15" x14ac:dyDescent="0.45">
      <c r="A166" t="s">
        <v>248</v>
      </c>
      <c r="B166" s="4">
        <v>45428</v>
      </c>
      <c r="C166" t="s">
        <v>26</v>
      </c>
      <c r="D166" t="s">
        <v>134</v>
      </c>
      <c r="E166" t="s">
        <v>23</v>
      </c>
      <c r="F166" t="str">
        <f>_xlfn.XLOOKUP(C166,Salespeople!$A$2:$A$11,Salespeople!$C$2:$C$11)</f>
        <v>APAC</v>
      </c>
      <c r="G166" t="str">
        <f>_xlfn.XLOOKUP(C166,Salespeople!$A$2:$A$11,Salespeople!$D$2:$D$11)</f>
        <v>Singapore</v>
      </c>
      <c r="H166" s="3">
        <v>6</v>
      </c>
      <c r="I166" s="5"/>
      <c r="J166" s="5"/>
      <c r="K166" s="8"/>
      <c r="O166" s="8"/>
    </row>
    <row r="167" spans="1:15" x14ac:dyDescent="0.45">
      <c r="A167" t="s">
        <v>249</v>
      </c>
      <c r="B167" s="4">
        <v>45596</v>
      </c>
      <c r="C167" t="s">
        <v>139</v>
      </c>
      <c r="D167" t="s">
        <v>91</v>
      </c>
      <c r="E167" t="s">
        <v>48</v>
      </c>
      <c r="F167" t="str">
        <f>_xlfn.XLOOKUP(C167,Salespeople!$A$2:$A$11,Salespeople!$C$2:$C$11)</f>
        <v>Americas</v>
      </c>
      <c r="G167" t="str">
        <f>_xlfn.XLOOKUP(C167,Salespeople!$A$2:$A$11,Salespeople!$D$2:$D$11)</f>
        <v>Canada</v>
      </c>
      <c r="H167" s="3">
        <v>15</v>
      </c>
      <c r="I167" s="5"/>
      <c r="J167" s="5"/>
      <c r="K167" s="8"/>
      <c r="O167" s="8"/>
    </row>
    <row r="168" spans="1:15" x14ac:dyDescent="0.45">
      <c r="A168" t="s">
        <v>250</v>
      </c>
      <c r="B168" s="4">
        <v>45531</v>
      </c>
      <c r="C168" t="s">
        <v>66</v>
      </c>
      <c r="D168" t="s">
        <v>28</v>
      </c>
      <c r="E168" t="s">
        <v>48</v>
      </c>
      <c r="F168" t="str">
        <f>_xlfn.XLOOKUP(C168,Salespeople!$A$2:$A$11,Salespeople!$C$2:$C$11)</f>
        <v>Americas</v>
      </c>
      <c r="G168" t="str">
        <f>_xlfn.XLOOKUP(C168,Salespeople!$A$2:$A$11,Salespeople!$D$2:$D$11)</f>
        <v>United States</v>
      </c>
      <c r="H168" s="3">
        <v>9</v>
      </c>
      <c r="I168" s="5"/>
      <c r="J168" s="5"/>
      <c r="K168" s="8"/>
      <c r="O168" s="8"/>
    </row>
    <row r="169" spans="1:15" x14ac:dyDescent="0.45">
      <c r="A169" t="s">
        <v>251</v>
      </c>
      <c r="B169" s="4">
        <v>45516</v>
      </c>
      <c r="C169" t="s">
        <v>17</v>
      </c>
      <c r="D169" t="s">
        <v>40</v>
      </c>
      <c r="E169" t="s">
        <v>23</v>
      </c>
      <c r="F169" t="str">
        <f>_xlfn.XLOOKUP(C169,Salespeople!$A$2:$A$11,Salespeople!$C$2:$C$11)</f>
        <v>EMEA</v>
      </c>
      <c r="G169" t="str">
        <f>_xlfn.XLOOKUP(C169,Salespeople!$A$2:$A$11,Salespeople!$D$2:$D$11)</f>
        <v>Portugal</v>
      </c>
      <c r="H169" s="3">
        <v>14</v>
      </c>
      <c r="I169" s="5"/>
      <c r="J169" s="5"/>
      <c r="K169" s="8"/>
      <c r="O169" s="8"/>
    </row>
    <row r="170" spans="1:15" x14ac:dyDescent="0.45">
      <c r="A170" t="s">
        <v>252</v>
      </c>
      <c r="B170" s="4">
        <v>45601</v>
      </c>
      <c r="C170" t="s">
        <v>66</v>
      </c>
      <c r="D170" t="s">
        <v>19</v>
      </c>
      <c r="E170" t="s">
        <v>23</v>
      </c>
      <c r="F170" t="str">
        <f>_xlfn.XLOOKUP(C170,Salespeople!$A$2:$A$11,Salespeople!$C$2:$C$11)</f>
        <v>Americas</v>
      </c>
      <c r="G170" t="str">
        <f>_xlfn.XLOOKUP(C170,Salespeople!$A$2:$A$11,Salespeople!$D$2:$D$11)</f>
        <v>United States</v>
      </c>
      <c r="H170" s="3">
        <v>8</v>
      </c>
      <c r="I170" s="5"/>
      <c r="J170" s="5"/>
      <c r="K170" s="8"/>
      <c r="O170" s="8"/>
    </row>
    <row r="171" spans="1:15" x14ac:dyDescent="0.45">
      <c r="A171" t="s">
        <v>253</v>
      </c>
      <c r="B171" s="4">
        <v>45636</v>
      </c>
      <c r="C171" t="s">
        <v>66</v>
      </c>
      <c r="D171" t="s">
        <v>40</v>
      </c>
      <c r="E171" t="s">
        <v>23</v>
      </c>
      <c r="F171" t="str">
        <f>_xlfn.XLOOKUP(C171,Salespeople!$A$2:$A$11,Salespeople!$C$2:$C$11)</f>
        <v>Americas</v>
      </c>
      <c r="G171" t="str">
        <f>_xlfn.XLOOKUP(C171,Salespeople!$A$2:$A$11,Salespeople!$D$2:$D$11)</f>
        <v>United States</v>
      </c>
      <c r="H171" s="3">
        <v>25</v>
      </c>
      <c r="I171" s="5"/>
      <c r="J171" s="5"/>
      <c r="K171" s="8"/>
      <c r="O171" s="8"/>
    </row>
    <row r="172" spans="1:15" x14ac:dyDescent="0.45">
      <c r="A172" t="s">
        <v>254</v>
      </c>
      <c r="B172" s="4">
        <v>45532</v>
      </c>
      <c r="C172" t="s">
        <v>38</v>
      </c>
      <c r="D172" t="s">
        <v>74</v>
      </c>
      <c r="E172" t="s">
        <v>48</v>
      </c>
      <c r="F172" t="str">
        <f>_xlfn.XLOOKUP(C172,Salespeople!$A$2:$A$11,Salespeople!$C$2:$C$11)</f>
        <v>Americas</v>
      </c>
      <c r="G172" t="str">
        <f>_xlfn.XLOOKUP(C172,Salespeople!$A$2:$A$11,Salespeople!$D$2:$D$11)</f>
        <v>Brazil</v>
      </c>
      <c r="H172" s="3">
        <v>9</v>
      </c>
      <c r="I172" s="5"/>
      <c r="J172" s="5"/>
      <c r="K172" s="8"/>
      <c r="O172" s="8"/>
    </row>
    <row r="173" spans="1:15" x14ac:dyDescent="0.45">
      <c r="A173" t="s">
        <v>255</v>
      </c>
      <c r="B173" s="4">
        <v>45591</v>
      </c>
      <c r="C173" t="s">
        <v>33</v>
      </c>
      <c r="D173" t="s">
        <v>74</v>
      </c>
      <c r="E173" t="s">
        <v>48</v>
      </c>
      <c r="F173" t="str">
        <f>_xlfn.XLOOKUP(C173,Salespeople!$A$2:$A$11,Salespeople!$C$2:$C$11)</f>
        <v>EMEA</v>
      </c>
      <c r="G173" t="str">
        <f>_xlfn.XLOOKUP(C173,Salespeople!$A$2:$A$11,Salespeople!$D$2:$D$11)</f>
        <v>Kenya</v>
      </c>
      <c r="H173" s="3">
        <v>3</v>
      </c>
      <c r="I173" s="5"/>
      <c r="J173" s="5"/>
      <c r="K173" s="8"/>
      <c r="O173" s="8"/>
    </row>
    <row r="174" spans="1:15" x14ac:dyDescent="0.45">
      <c r="A174" t="s">
        <v>256</v>
      </c>
      <c r="B174" s="4">
        <v>45470</v>
      </c>
      <c r="C174" t="s">
        <v>33</v>
      </c>
      <c r="D174" t="s">
        <v>56</v>
      </c>
      <c r="E174" t="s">
        <v>48</v>
      </c>
      <c r="F174" t="str">
        <f>_xlfn.XLOOKUP(C174,Salespeople!$A$2:$A$11,Salespeople!$C$2:$C$11)</f>
        <v>EMEA</v>
      </c>
      <c r="G174" t="str">
        <f>_xlfn.XLOOKUP(C174,Salespeople!$A$2:$A$11,Salespeople!$D$2:$D$11)</f>
        <v>Kenya</v>
      </c>
      <c r="H174" s="3">
        <v>22</v>
      </c>
      <c r="I174" s="5"/>
      <c r="J174" s="5"/>
      <c r="K174" s="8"/>
      <c r="O174" s="8"/>
    </row>
    <row r="175" spans="1:15" x14ac:dyDescent="0.45">
      <c r="A175" t="s">
        <v>257</v>
      </c>
      <c r="B175" s="4">
        <v>45374</v>
      </c>
      <c r="C175" t="s">
        <v>83</v>
      </c>
      <c r="D175" t="s">
        <v>44</v>
      </c>
      <c r="E175" t="s">
        <v>14</v>
      </c>
      <c r="F175" t="str">
        <f>_xlfn.XLOOKUP(C175,Salespeople!$A$2:$A$11,Salespeople!$C$2:$C$11)</f>
        <v>EMEA</v>
      </c>
      <c r="G175" t="str">
        <f>_xlfn.XLOOKUP(C175,Salespeople!$A$2:$A$11,Salespeople!$D$2:$D$11)</f>
        <v>United Arab Emirates</v>
      </c>
      <c r="H175" s="3">
        <v>16</v>
      </c>
      <c r="I175" s="5"/>
      <c r="J175" s="5"/>
      <c r="K175" s="8"/>
      <c r="O175" s="8"/>
    </row>
    <row r="176" spans="1:15" x14ac:dyDescent="0.45">
      <c r="A176" t="s">
        <v>258</v>
      </c>
      <c r="B176" s="4">
        <v>45631</v>
      </c>
      <c r="C176" t="s">
        <v>33</v>
      </c>
      <c r="D176" t="s">
        <v>68</v>
      </c>
      <c r="E176" t="s">
        <v>14</v>
      </c>
      <c r="F176" t="str">
        <f>_xlfn.XLOOKUP(C176,Salespeople!$A$2:$A$11,Salespeople!$C$2:$C$11)</f>
        <v>EMEA</v>
      </c>
      <c r="G176" t="str">
        <f>_xlfn.XLOOKUP(C176,Salespeople!$A$2:$A$11,Salespeople!$D$2:$D$11)</f>
        <v>Kenya</v>
      </c>
      <c r="H176" s="3">
        <v>2</v>
      </c>
      <c r="I176" s="5"/>
      <c r="J176" s="5"/>
      <c r="K176" s="8"/>
      <c r="O176" s="8"/>
    </row>
    <row r="177" spans="1:15" x14ac:dyDescent="0.45">
      <c r="A177" t="s">
        <v>259</v>
      </c>
      <c r="B177" s="4">
        <v>45337</v>
      </c>
      <c r="C177" t="s">
        <v>83</v>
      </c>
      <c r="D177" t="s">
        <v>79</v>
      </c>
      <c r="E177" t="s">
        <v>48</v>
      </c>
      <c r="F177" t="str">
        <f>_xlfn.XLOOKUP(C177,Salespeople!$A$2:$A$11,Salespeople!$C$2:$C$11)</f>
        <v>EMEA</v>
      </c>
      <c r="G177" t="str">
        <f>_xlfn.XLOOKUP(C177,Salespeople!$A$2:$A$11,Salespeople!$D$2:$D$11)</f>
        <v>United Arab Emirates</v>
      </c>
      <c r="H177" s="3">
        <v>4</v>
      </c>
      <c r="I177" s="5"/>
      <c r="J177" s="5"/>
      <c r="K177" s="8"/>
      <c r="O177" s="8"/>
    </row>
    <row r="178" spans="1:15" x14ac:dyDescent="0.45">
      <c r="A178" t="s">
        <v>260</v>
      </c>
      <c r="B178" s="4">
        <v>45555</v>
      </c>
      <c r="C178" t="s">
        <v>131</v>
      </c>
      <c r="D178" t="s">
        <v>74</v>
      </c>
      <c r="E178" t="s">
        <v>14</v>
      </c>
      <c r="F178" t="str">
        <f>_xlfn.XLOOKUP(C178,Salespeople!$A$2:$A$11,Salespeople!$C$2:$C$11)</f>
        <v>EMEA</v>
      </c>
      <c r="G178" t="str">
        <f>_xlfn.XLOOKUP(C178,Salespeople!$A$2:$A$11,Salespeople!$D$2:$D$11)</f>
        <v>United Kingdom</v>
      </c>
      <c r="H178" s="3">
        <v>15</v>
      </c>
      <c r="I178" s="5"/>
      <c r="J178" s="5"/>
      <c r="K178" s="8"/>
      <c r="O178" s="8"/>
    </row>
    <row r="179" spans="1:15" x14ac:dyDescent="0.45">
      <c r="A179" t="s">
        <v>261</v>
      </c>
      <c r="B179" s="4">
        <v>45319</v>
      </c>
      <c r="C179" t="s">
        <v>51</v>
      </c>
      <c r="D179" t="s">
        <v>62</v>
      </c>
      <c r="E179" t="s">
        <v>48</v>
      </c>
      <c r="F179" t="str">
        <f>_xlfn.XLOOKUP(C179,Salespeople!$A$2:$A$11,Salespeople!$C$2:$C$11)</f>
        <v>Americas</v>
      </c>
      <c r="G179" t="str">
        <f>_xlfn.XLOOKUP(C179,Salespeople!$A$2:$A$11,Salespeople!$D$2:$D$11)</f>
        <v>Mexico</v>
      </c>
      <c r="H179" s="3">
        <v>20</v>
      </c>
      <c r="I179" s="5"/>
      <c r="J179" s="5"/>
      <c r="K179" s="8"/>
      <c r="O179" s="8"/>
    </row>
    <row r="180" spans="1:15" x14ac:dyDescent="0.45">
      <c r="A180" t="s">
        <v>262</v>
      </c>
      <c r="B180" s="4">
        <v>45612</v>
      </c>
      <c r="C180" t="s">
        <v>60</v>
      </c>
      <c r="D180" t="s">
        <v>53</v>
      </c>
      <c r="E180" t="s">
        <v>23</v>
      </c>
      <c r="F180" t="str">
        <f>_xlfn.XLOOKUP(C180,Salespeople!$A$2:$A$11,Salespeople!$C$2:$C$11)</f>
        <v>APAC</v>
      </c>
      <c r="G180" t="str">
        <f>_xlfn.XLOOKUP(C180,Salespeople!$A$2:$A$11,Salespeople!$D$2:$D$11)</f>
        <v>Japan</v>
      </c>
      <c r="H180" s="3">
        <v>7</v>
      </c>
      <c r="I180" s="5"/>
      <c r="J180" s="5"/>
      <c r="K180" s="8"/>
      <c r="O180" s="8"/>
    </row>
    <row r="181" spans="1:15" x14ac:dyDescent="0.45">
      <c r="A181" t="s">
        <v>263</v>
      </c>
      <c r="B181" s="4">
        <v>45573</v>
      </c>
      <c r="C181" t="s">
        <v>26</v>
      </c>
      <c r="D181" t="s">
        <v>91</v>
      </c>
      <c r="E181" t="s">
        <v>48</v>
      </c>
      <c r="F181" t="str">
        <f>_xlfn.XLOOKUP(C181,Salespeople!$A$2:$A$11,Salespeople!$C$2:$C$11)</f>
        <v>APAC</v>
      </c>
      <c r="G181" t="str">
        <f>_xlfn.XLOOKUP(C181,Salespeople!$A$2:$A$11,Salespeople!$D$2:$D$11)</f>
        <v>Singapore</v>
      </c>
      <c r="H181" s="3">
        <v>15</v>
      </c>
      <c r="I181" s="5"/>
      <c r="J181" s="5"/>
      <c r="K181" s="8"/>
      <c r="O181" s="8"/>
    </row>
    <row r="182" spans="1:15" x14ac:dyDescent="0.45">
      <c r="A182" t="s">
        <v>264</v>
      </c>
      <c r="B182" s="4">
        <v>45354</v>
      </c>
      <c r="C182" t="s">
        <v>131</v>
      </c>
      <c r="D182" t="s">
        <v>74</v>
      </c>
      <c r="E182" t="s">
        <v>14</v>
      </c>
      <c r="F182" t="str">
        <f>_xlfn.XLOOKUP(C182,Salespeople!$A$2:$A$11,Salespeople!$C$2:$C$11)</f>
        <v>EMEA</v>
      </c>
      <c r="G182" t="str">
        <f>_xlfn.XLOOKUP(C182,Salespeople!$A$2:$A$11,Salespeople!$D$2:$D$11)</f>
        <v>United Kingdom</v>
      </c>
      <c r="H182" s="3">
        <v>8</v>
      </c>
      <c r="I182" s="5"/>
      <c r="J182" s="5"/>
      <c r="K182" s="8"/>
      <c r="O182" s="8"/>
    </row>
    <row r="183" spans="1:15" x14ac:dyDescent="0.45">
      <c r="A183" t="s">
        <v>265</v>
      </c>
      <c r="B183" s="4">
        <v>45451</v>
      </c>
      <c r="C183" t="s">
        <v>38</v>
      </c>
      <c r="D183" t="s">
        <v>19</v>
      </c>
      <c r="E183" t="s">
        <v>14</v>
      </c>
      <c r="F183" t="str">
        <f>_xlfn.XLOOKUP(C183,Salespeople!$A$2:$A$11,Salespeople!$C$2:$C$11)</f>
        <v>Americas</v>
      </c>
      <c r="G183" t="str">
        <f>_xlfn.XLOOKUP(C183,Salespeople!$A$2:$A$11,Salespeople!$D$2:$D$11)</f>
        <v>Brazil</v>
      </c>
      <c r="H183" s="3">
        <v>14</v>
      </c>
      <c r="I183" s="5"/>
      <c r="J183" s="5"/>
      <c r="K183" s="8"/>
      <c r="O183" s="8"/>
    </row>
    <row r="184" spans="1:15" x14ac:dyDescent="0.45">
      <c r="A184" t="s">
        <v>266</v>
      </c>
      <c r="B184" s="4">
        <v>45407</v>
      </c>
      <c r="C184" t="s">
        <v>17</v>
      </c>
      <c r="D184" t="s">
        <v>103</v>
      </c>
      <c r="E184" t="s">
        <v>23</v>
      </c>
      <c r="F184" t="str">
        <f>_xlfn.XLOOKUP(C184,Salespeople!$A$2:$A$11,Salespeople!$C$2:$C$11)</f>
        <v>EMEA</v>
      </c>
      <c r="G184" t="str">
        <f>_xlfn.XLOOKUP(C184,Salespeople!$A$2:$A$11,Salespeople!$D$2:$D$11)</f>
        <v>Portugal</v>
      </c>
      <c r="H184" s="3">
        <v>21</v>
      </c>
      <c r="I184" s="5"/>
      <c r="J184" s="5"/>
      <c r="K184" s="8"/>
      <c r="O184" s="8"/>
    </row>
    <row r="185" spans="1:15" x14ac:dyDescent="0.45">
      <c r="A185" t="s">
        <v>267</v>
      </c>
      <c r="B185" s="4">
        <v>45547</v>
      </c>
      <c r="C185" t="s">
        <v>66</v>
      </c>
      <c r="D185" t="s">
        <v>62</v>
      </c>
      <c r="E185" t="s">
        <v>14</v>
      </c>
      <c r="F185" t="str">
        <f>_xlfn.XLOOKUP(C185,Salespeople!$A$2:$A$11,Salespeople!$C$2:$C$11)</f>
        <v>Americas</v>
      </c>
      <c r="G185" t="str">
        <f>_xlfn.XLOOKUP(C185,Salespeople!$A$2:$A$11,Salespeople!$D$2:$D$11)</f>
        <v>United States</v>
      </c>
      <c r="H185" s="3">
        <v>9</v>
      </c>
      <c r="I185" s="5"/>
      <c r="J185" s="5"/>
      <c r="K185" s="8"/>
      <c r="O185" s="8"/>
    </row>
    <row r="186" spans="1:15" x14ac:dyDescent="0.45">
      <c r="A186" t="s">
        <v>268</v>
      </c>
      <c r="B186" s="4">
        <v>45539</v>
      </c>
      <c r="C186" t="s">
        <v>60</v>
      </c>
      <c r="D186" t="s">
        <v>88</v>
      </c>
      <c r="E186" t="s">
        <v>48</v>
      </c>
      <c r="F186" t="str">
        <f>_xlfn.XLOOKUP(C186,Salespeople!$A$2:$A$11,Salespeople!$C$2:$C$11)</f>
        <v>APAC</v>
      </c>
      <c r="G186" t="str">
        <f>_xlfn.XLOOKUP(C186,Salespeople!$A$2:$A$11,Salespeople!$D$2:$D$11)</f>
        <v>Japan</v>
      </c>
      <c r="H186" s="3">
        <v>18</v>
      </c>
      <c r="I186" s="5"/>
      <c r="J186" s="5"/>
      <c r="K186" s="8"/>
      <c r="O186" s="8"/>
    </row>
    <row r="187" spans="1:15" x14ac:dyDescent="0.45">
      <c r="A187" t="s">
        <v>269</v>
      </c>
      <c r="B187" s="4">
        <v>45488</v>
      </c>
      <c r="C187" t="s">
        <v>51</v>
      </c>
      <c r="D187" t="s">
        <v>91</v>
      </c>
      <c r="E187" t="s">
        <v>14</v>
      </c>
      <c r="F187" t="str">
        <f>_xlfn.XLOOKUP(C187,Salespeople!$A$2:$A$11,Salespeople!$C$2:$C$11)</f>
        <v>Americas</v>
      </c>
      <c r="G187" t="str">
        <f>_xlfn.XLOOKUP(C187,Salespeople!$A$2:$A$11,Salespeople!$D$2:$D$11)</f>
        <v>Mexico</v>
      </c>
      <c r="H187" s="3">
        <v>17</v>
      </c>
      <c r="I187" s="5"/>
      <c r="J187" s="5"/>
      <c r="K187" s="8"/>
      <c r="O187" s="8"/>
    </row>
    <row r="188" spans="1:15" x14ac:dyDescent="0.45">
      <c r="A188" t="s">
        <v>270</v>
      </c>
      <c r="B188" s="4">
        <v>45327</v>
      </c>
      <c r="C188" t="s">
        <v>66</v>
      </c>
      <c r="D188" t="s">
        <v>53</v>
      </c>
      <c r="E188" t="s">
        <v>48</v>
      </c>
      <c r="F188" t="str">
        <f>_xlfn.XLOOKUP(C188,Salespeople!$A$2:$A$11,Salespeople!$C$2:$C$11)</f>
        <v>Americas</v>
      </c>
      <c r="G188" t="str">
        <f>_xlfn.XLOOKUP(C188,Salespeople!$A$2:$A$11,Salespeople!$D$2:$D$11)</f>
        <v>United States</v>
      </c>
      <c r="H188" s="3">
        <v>11</v>
      </c>
      <c r="I188" s="5"/>
      <c r="J188" s="5"/>
      <c r="K188" s="8"/>
      <c r="O188" s="8"/>
    </row>
    <row r="189" spans="1:15" x14ac:dyDescent="0.45">
      <c r="A189" t="s">
        <v>271</v>
      </c>
      <c r="B189" s="4">
        <v>45293</v>
      </c>
      <c r="C189" t="s">
        <v>66</v>
      </c>
      <c r="D189" t="s">
        <v>28</v>
      </c>
      <c r="E189" t="s">
        <v>48</v>
      </c>
      <c r="F189" t="str">
        <f>_xlfn.XLOOKUP(C189,Salespeople!$A$2:$A$11,Salespeople!$C$2:$C$11)</f>
        <v>Americas</v>
      </c>
      <c r="G189" t="str">
        <f>_xlfn.XLOOKUP(C189,Salespeople!$A$2:$A$11,Salespeople!$D$2:$D$11)</f>
        <v>United States</v>
      </c>
      <c r="H189" s="3">
        <v>19</v>
      </c>
      <c r="I189" s="5"/>
      <c r="J189" s="5"/>
      <c r="K189" s="8"/>
      <c r="O189" s="8"/>
    </row>
    <row r="190" spans="1:15" x14ac:dyDescent="0.45">
      <c r="A190" t="s">
        <v>272</v>
      </c>
      <c r="B190" s="4">
        <v>45368</v>
      </c>
      <c r="C190" t="s">
        <v>60</v>
      </c>
      <c r="D190" t="s">
        <v>62</v>
      </c>
      <c r="E190" t="s">
        <v>48</v>
      </c>
      <c r="F190" t="str">
        <f>_xlfn.XLOOKUP(C190,Salespeople!$A$2:$A$11,Salespeople!$C$2:$C$11)</f>
        <v>APAC</v>
      </c>
      <c r="G190" t="str">
        <f>_xlfn.XLOOKUP(C190,Salespeople!$A$2:$A$11,Salespeople!$D$2:$D$11)</f>
        <v>Japan</v>
      </c>
      <c r="H190" s="3">
        <v>12</v>
      </c>
      <c r="I190" s="5"/>
      <c r="J190" s="5"/>
      <c r="K190" s="8"/>
      <c r="O190" s="8"/>
    </row>
    <row r="191" spans="1:15" x14ac:dyDescent="0.45">
      <c r="A191" t="s">
        <v>273</v>
      </c>
      <c r="B191" s="4">
        <v>45574</v>
      </c>
      <c r="C191" t="s">
        <v>38</v>
      </c>
      <c r="D191" t="s">
        <v>44</v>
      </c>
      <c r="E191" t="s">
        <v>48</v>
      </c>
      <c r="F191" t="str">
        <f>_xlfn.XLOOKUP(C191,Salespeople!$A$2:$A$11,Salespeople!$C$2:$C$11)</f>
        <v>Americas</v>
      </c>
      <c r="G191" t="str">
        <f>_xlfn.XLOOKUP(C191,Salespeople!$A$2:$A$11,Salespeople!$D$2:$D$11)</f>
        <v>Brazil</v>
      </c>
      <c r="H191" s="3">
        <v>11</v>
      </c>
      <c r="I191" s="5"/>
      <c r="J191" s="5"/>
      <c r="K191" s="8"/>
      <c r="O191" s="8"/>
    </row>
    <row r="192" spans="1:15" x14ac:dyDescent="0.45">
      <c r="A192" t="s">
        <v>274</v>
      </c>
      <c r="B192" s="4">
        <v>45649</v>
      </c>
      <c r="C192" t="s">
        <v>51</v>
      </c>
      <c r="D192" t="s">
        <v>40</v>
      </c>
      <c r="E192" t="s">
        <v>48</v>
      </c>
      <c r="F192" t="str">
        <f>_xlfn.XLOOKUP(C192,Salespeople!$A$2:$A$11,Salespeople!$C$2:$C$11)</f>
        <v>Americas</v>
      </c>
      <c r="G192" t="str">
        <f>_xlfn.XLOOKUP(C192,Salespeople!$A$2:$A$11,Salespeople!$D$2:$D$11)</f>
        <v>Mexico</v>
      </c>
      <c r="H192" s="3">
        <v>8</v>
      </c>
      <c r="I192" s="5"/>
      <c r="J192" s="5"/>
      <c r="K192" s="8"/>
      <c r="O192" s="8"/>
    </row>
    <row r="193" spans="1:15" x14ac:dyDescent="0.45">
      <c r="A193" t="s">
        <v>275</v>
      </c>
      <c r="B193" s="4">
        <v>45314</v>
      </c>
      <c r="C193" t="s">
        <v>83</v>
      </c>
      <c r="D193" t="s">
        <v>28</v>
      </c>
      <c r="E193" t="s">
        <v>48</v>
      </c>
      <c r="F193" t="str">
        <f>_xlfn.XLOOKUP(C193,Salespeople!$A$2:$A$11,Salespeople!$C$2:$C$11)</f>
        <v>EMEA</v>
      </c>
      <c r="G193" t="str">
        <f>_xlfn.XLOOKUP(C193,Salespeople!$A$2:$A$11,Salespeople!$D$2:$D$11)</f>
        <v>United Arab Emirates</v>
      </c>
      <c r="H193" s="3">
        <v>23</v>
      </c>
      <c r="I193" s="5"/>
      <c r="J193" s="5"/>
      <c r="K193" s="8"/>
      <c r="O193" s="8"/>
    </row>
    <row r="194" spans="1:15" x14ac:dyDescent="0.45">
      <c r="A194" t="s">
        <v>276</v>
      </c>
      <c r="B194" s="4">
        <v>45489</v>
      </c>
      <c r="C194" t="s">
        <v>26</v>
      </c>
      <c r="D194" t="s">
        <v>103</v>
      </c>
      <c r="E194" t="s">
        <v>23</v>
      </c>
      <c r="F194" t="str">
        <f>_xlfn.XLOOKUP(C194,Salespeople!$A$2:$A$11,Salespeople!$C$2:$C$11)</f>
        <v>APAC</v>
      </c>
      <c r="G194" t="str">
        <f>_xlfn.XLOOKUP(C194,Salespeople!$A$2:$A$11,Salespeople!$D$2:$D$11)</f>
        <v>Singapore</v>
      </c>
      <c r="H194" s="3">
        <v>5</v>
      </c>
      <c r="I194" s="5"/>
      <c r="J194" s="5"/>
      <c r="K194" s="8"/>
      <c r="O194" s="8"/>
    </row>
    <row r="195" spans="1:15" x14ac:dyDescent="0.45">
      <c r="A195" t="s">
        <v>277</v>
      </c>
      <c r="B195" s="4">
        <v>45343</v>
      </c>
      <c r="C195" t="s">
        <v>60</v>
      </c>
      <c r="D195" t="s">
        <v>134</v>
      </c>
      <c r="E195" t="s">
        <v>14</v>
      </c>
      <c r="F195" t="str">
        <f>_xlfn.XLOOKUP(C195,Salespeople!$A$2:$A$11,Salespeople!$C$2:$C$11)</f>
        <v>APAC</v>
      </c>
      <c r="G195" t="str">
        <f>_xlfn.XLOOKUP(C195,Salespeople!$A$2:$A$11,Salespeople!$D$2:$D$11)</f>
        <v>Japan</v>
      </c>
      <c r="H195" s="3">
        <v>15</v>
      </c>
      <c r="I195" s="5"/>
      <c r="J195" s="5"/>
      <c r="K195" s="8"/>
      <c r="O195" s="8"/>
    </row>
    <row r="196" spans="1:15" x14ac:dyDescent="0.45">
      <c r="A196" t="s">
        <v>278</v>
      </c>
      <c r="B196" s="4">
        <v>45365</v>
      </c>
      <c r="C196" t="s">
        <v>33</v>
      </c>
      <c r="D196" t="s">
        <v>68</v>
      </c>
      <c r="E196" t="s">
        <v>14</v>
      </c>
      <c r="F196" t="str">
        <f>_xlfn.XLOOKUP(C196,Salespeople!$A$2:$A$11,Salespeople!$C$2:$C$11)</f>
        <v>EMEA</v>
      </c>
      <c r="G196" t="str">
        <f>_xlfn.XLOOKUP(C196,Salespeople!$A$2:$A$11,Salespeople!$D$2:$D$11)</f>
        <v>Kenya</v>
      </c>
      <c r="H196" s="3">
        <v>5</v>
      </c>
      <c r="I196" s="5"/>
      <c r="J196" s="5"/>
      <c r="K196" s="8"/>
      <c r="O196" s="8"/>
    </row>
    <row r="197" spans="1:15" x14ac:dyDescent="0.45">
      <c r="A197" t="s">
        <v>279</v>
      </c>
      <c r="B197" s="4">
        <v>45532</v>
      </c>
      <c r="C197" t="s">
        <v>66</v>
      </c>
      <c r="D197" t="s">
        <v>56</v>
      </c>
      <c r="E197" t="s">
        <v>14</v>
      </c>
      <c r="F197" t="str">
        <f>_xlfn.XLOOKUP(C197,Salespeople!$A$2:$A$11,Salespeople!$C$2:$C$11)</f>
        <v>Americas</v>
      </c>
      <c r="G197" t="str">
        <f>_xlfn.XLOOKUP(C197,Salespeople!$A$2:$A$11,Salespeople!$D$2:$D$11)</f>
        <v>United States</v>
      </c>
      <c r="H197" s="3">
        <v>23</v>
      </c>
      <c r="I197" s="5"/>
      <c r="J197" s="5"/>
      <c r="K197" s="8"/>
      <c r="O197" s="8"/>
    </row>
    <row r="198" spans="1:15" x14ac:dyDescent="0.45">
      <c r="A198" t="s">
        <v>280</v>
      </c>
      <c r="B198" s="4">
        <v>45624</v>
      </c>
      <c r="C198" t="s">
        <v>17</v>
      </c>
      <c r="D198" t="s">
        <v>68</v>
      </c>
      <c r="E198" t="s">
        <v>48</v>
      </c>
      <c r="F198" t="str">
        <f>_xlfn.XLOOKUP(C198,Salespeople!$A$2:$A$11,Salespeople!$C$2:$C$11)</f>
        <v>EMEA</v>
      </c>
      <c r="G198" t="str">
        <f>_xlfn.XLOOKUP(C198,Salespeople!$A$2:$A$11,Salespeople!$D$2:$D$11)</f>
        <v>Portugal</v>
      </c>
      <c r="H198" s="3">
        <v>22</v>
      </c>
      <c r="I198" s="5"/>
      <c r="J198" s="5"/>
      <c r="K198" s="8"/>
      <c r="O198" s="8"/>
    </row>
    <row r="199" spans="1:15" x14ac:dyDescent="0.45">
      <c r="A199" t="s">
        <v>281</v>
      </c>
      <c r="B199" s="4">
        <v>45454</v>
      </c>
      <c r="C199" t="s">
        <v>60</v>
      </c>
      <c r="D199" t="s">
        <v>68</v>
      </c>
      <c r="E199" t="s">
        <v>14</v>
      </c>
      <c r="F199" t="str">
        <f>_xlfn.XLOOKUP(C199,Salespeople!$A$2:$A$11,Salespeople!$C$2:$C$11)</f>
        <v>APAC</v>
      </c>
      <c r="G199" t="str">
        <f>_xlfn.XLOOKUP(C199,Salespeople!$A$2:$A$11,Salespeople!$D$2:$D$11)</f>
        <v>Japan</v>
      </c>
      <c r="H199" s="3">
        <v>2</v>
      </c>
      <c r="I199" s="5"/>
      <c r="J199" s="5"/>
      <c r="K199" s="8"/>
      <c r="O199" s="8"/>
    </row>
    <row r="200" spans="1:15" x14ac:dyDescent="0.45">
      <c r="A200" t="s">
        <v>282</v>
      </c>
      <c r="B200" s="4">
        <v>45412</v>
      </c>
      <c r="C200" t="s">
        <v>66</v>
      </c>
      <c r="D200" t="s">
        <v>88</v>
      </c>
      <c r="E200" t="s">
        <v>14</v>
      </c>
      <c r="F200" t="str">
        <f>_xlfn.XLOOKUP(C200,Salespeople!$A$2:$A$11,Salespeople!$C$2:$C$11)</f>
        <v>Americas</v>
      </c>
      <c r="G200" t="str">
        <f>_xlfn.XLOOKUP(C200,Salespeople!$A$2:$A$11,Salespeople!$D$2:$D$11)</f>
        <v>United States</v>
      </c>
      <c r="H200" s="3">
        <v>3</v>
      </c>
      <c r="I200" s="5"/>
      <c r="J200" s="5"/>
      <c r="K200" s="8"/>
      <c r="O200" s="8"/>
    </row>
    <row r="201" spans="1:15" x14ac:dyDescent="0.45">
      <c r="A201" t="s">
        <v>283</v>
      </c>
      <c r="B201" s="4">
        <v>45342</v>
      </c>
      <c r="C201" t="s">
        <v>17</v>
      </c>
      <c r="D201" t="s">
        <v>103</v>
      </c>
      <c r="E201" t="s">
        <v>23</v>
      </c>
      <c r="F201" t="str">
        <f>_xlfn.XLOOKUP(C201,Salespeople!$A$2:$A$11,Salespeople!$C$2:$C$11)</f>
        <v>EMEA</v>
      </c>
      <c r="G201" t="str">
        <f>_xlfn.XLOOKUP(C201,Salespeople!$A$2:$A$11,Salespeople!$D$2:$D$11)</f>
        <v>Portugal</v>
      </c>
      <c r="H201" s="3">
        <v>23</v>
      </c>
      <c r="I201" s="5"/>
      <c r="J201" s="5"/>
      <c r="K201" s="8"/>
      <c r="O20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opLeftCell="B1" workbookViewId="0">
      <pane ySplit="1" topLeftCell="A2" activePane="bottomLeft" state="frozen"/>
      <selection pane="bottomLeft" activeCell="C37" sqref="C37"/>
    </sheetView>
  </sheetViews>
  <sheetFormatPr defaultRowHeight="14.25" x14ac:dyDescent="0.45"/>
  <cols>
    <col min="1" max="1" width="11.86328125" customWidth="1"/>
    <col min="2" max="2" width="22" customWidth="1"/>
    <col min="3" max="3" width="13" customWidth="1"/>
    <col min="4" max="4" width="11.3984375" style="5" customWidth="1"/>
    <col min="5" max="5" width="10.86328125" style="5" customWidth="1"/>
  </cols>
  <sheetData>
    <row r="1" spans="1:5" s="1" customFormat="1" x14ac:dyDescent="0.45">
      <c r="A1" s="1" t="s">
        <v>7</v>
      </c>
      <c r="B1" s="1" t="s">
        <v>8</v>
      </c>
      <c r="C1" s="1" t="s">
        <v>9</v>
      </c>
      <c r="D1" s="1" t="s">
        <v>11</v>
      </c>
      <c r="E1" s="1" t="s">
        <v>12</v>
      </c>
    </row>
    <row r="2" spans="1:5" x14ac:dyDescent="0.45">
      <c r="A2" t="s">
        <v>19</v>
      </c>
      <c r="B2" t="s">
        <v>20</v>
      </c>
      <c r="C2" t="s">
        <v>21</v>
      </c>
      <c r="D2" s="5">
        <v>25</v>
      </c>
      <c r="E2" s="5">
        <v>11</v>
      </c>
    </row>
    <row r="3" spans="1:5" x14ac:dyDescent="0.45">
      <c r="A3" t="s">
        <v>134</v>
      </c>
      <c r="B3" t="s">
        <v>135</v>
      </c>
      <c r="C3" t="s">
        <v>21</v>
      </c>
      <c r="D3" s="5">
        <v>79</v>
      </c>
      <c r="E3" s="5">
        <v>38</v>
      </c>
    </row>
    <row r="4" spans="1:5" x14ac:dyDescent="0.45">
      <c r="A4" t="s">
        <v>121</v>
      </c>
      <c r="B4" t="s">
        <v>122</v>
      </c>
      <c r="C4" t="s">
        <v>21</v>
      </c>
      <c r="D4" s="5">
        <v>45</v>
      </c>
      <c r="E4" s="5">
        <v>19</v>
      </c>
    </row>
    <row r="5" spans="1:5" x14ac:dyDescent="0.45">
      <c r="A5" t="s">
        <v>88</v>
      </c>
      <c r="B5" t="s">
        <v>89</v>
      </c>
      <c r="C5" t="s">
        <v>21</v>
      </c>
      <c r="D5" s="5">
        <v>35</v>
      </c>
      <c r="E5" s="5">
        <v>14</v>
      </c>
    </row>
    <row r="6" spans="1:5" x14ac:dyDescent="0.45">
      <c r="A6" t="s">
        <v>79</v>
      </c>
      <c r="B6" t="s">
        <v>80</v>
      </c>
      <c r="C6" t="s">
        <v>46</v>
      </c>
      <c r="D6" s="5">
        <v>240</v>
      </c>
      <c r="E6" s="5">
        <v>150</v>
      </c>
    </row>
    <row r="7" spans="1:5" x14ac:dyDescent="0.45">
      <c r="A7" t="s">
        <v>56</v>
      </c>
      <c r="B7" t="s">
        <v>57</v>
      </c>
      <c r="C7" t="s">
        <v>46</v>
      </c>
      <c r="D7" s="5">
        <v>520</v>
      </c>
      <c r="E7" s="5">
        <v>360</v>
      </c>
    </row>
    <row r="8" spans="1:5" x14ac:dyDescent="0.45">
      <c r="A8" t="s">
        <v>44</v>
      </c>
      <c r="B8" t="s">
        <v>45</v>
      </c>
      <c r="C8" t="s">
        <v>46</v>
      </c>
      <c r="D8" s="5">
        <v>180</v>
      </c>
      <c r="E8" s="5">
        <v>105</v>
      </c>
    </row>
    <row r="9" spans="1:5" x14ac:dyDescent="0.45">
      <c r="A9" t="s">
        <v>103</v>
      </c>
      <c r="B9" t="s">
        <v>104</v>
      </c>
      <c r="C9" t="s">
        <v>42</v>
      </c>
      <c r="D9" s="5">
        <v>1150</v>
      </c>
      <c r="E9" s="5">
        <v>820</v>
      </c>
    </row>
    <row r="10" spans="1:5" x14ac:dyDescent="0.45">
      <c r="A10" t="s">
        <v>62</v>
      </c>
      <c r="B10" t="s">
        <v>63</v>
      </c>
      <c r="C10" t="s">
        <v>42</v>
      </c>
      <c r="D10" s="5">
        <v>1750</v>
      </c>
      <c r="E10" s="5">
        <v>1300</v>
      </c>
    </row>
    <row r="11" spans="1:5" x14ac:dyDescent="0.45">
      <c r="A11" t="s">
        <v>40</v>
      </c>
      <c r="B11" t="s">
        <v>41</v>
      </c>
      <c r="C11" t="s">
        <v>42</v>
      </c>
      <c r="D11" s="5">
        <v>1050</v>
      </c>
      <c r="E11" s="5">
        <v>760</v>
      </c>
    </row>
    <row r="12" spans="1:5" x14ac:dyDescent="0.45">
      <c r="A12" t="s">
        <v>74</v>
      </c>
      <c r="B12" t="s">
        <v>75</v>
      </c>
      <c r="C12" t="s">
        <v>30</v>
      </c>
      <c r="D12" s="5">
        <v>210</v>
      </c>
      <c r="E12" s="5">
        <v>120</v>
      </c>
    </row>
    <row r="13" spans="1:5" x14ac:dyDescent="0.45">
      <c r="A13" t="s">
        <v>28</v>
      </c>
      <c r="B13" t="s">
        <v>29</v>
      </c>
      <c r="C13" t="s">
        <v>30</v>
      </c>
      <c r="D13" s="5">
        <v>95</v>
      </c>
      <c r="E13" s="5">
        <v>44</v>
      </c>
    </row>
    <row r="14" spans="1:5" x14ac:dyDescent="0.45">
      <c r="A14" t="s">
        <v>53</v>
      </c>
      <c r="B14" t="s">
        <v>54</v>
      </c>
      <c r="C14" t="s">
        <v>30</v>
      </c>
      <c r="D14" s="5">
        <v>130</v>
      </c>
      <c r="E14" s="5">
        <v>62</v>
      </c>
    </row>
    <row r="15" spans="1:5" x14ac:dyDescent="0.45">
      <c r="A15" t="s">
        <v>68</v>
      </c>
      <c r="B15" t="s">
        <v>69</v>
      </c>
      <c r="C15" t="s">
        <v>70</v>
      </c>
      <c r="D15" s="5">
        <v>110</v>
      </c>
      <c r="E15" s="5">
        <v>55</v>
      </c>
    </row>
    <row r="16" spans="1:5" x14ac:dyDescent="0.45">
      <c r="A16" t="s">
        <v>91</v>
      </c>
      <c r="B16" t="s">
        <v>92</v>
      </c>
      <c r="C16" t="s">
        <v>70</v>
      </c>
      <c r="D16" s="5">
        <v>160</v>
      </c>
      <c r="E16" s="5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E705-4DA3-420A-AC7C-58A6D1491018}">
  <dimension ref="A1:E16"/>
  <sheetViews>
    <sheetView workbookViewId="0">
      <selection activeCell="F15" sqref="F15"/>
    </sheetView>
  </sheetViews>
  <sheetFormatPr defaultRowHeight="14.25" x14ac:dyDescent="0.45"/>
  <cols>
    <col min="2" max="2" width="17.86328125" bestFit="1" customWidth="1"/>
    <col min="3" max="3" width="9.6640625" bestFit="1" customWidth="1"/>
  </cols>
  <sheetData>
    <row r="1" spans="1:5" x14ac:dyDescent="0.45">
      <c r="A1" s="1" t="s">
        <v>7</v>
      </c>
      <c r="B1" s="1" t="s">
        <v>8</v>
      </c>
      <c r="C1" s="1" t="s">
        <v>9</v>
      </c>
      <c r="D1" s="1" t="s">
        <v>11</v>
      </c>
      <c r="E1" s="1" t="s">
        <v>12</v>
      </c>
    </row>
    <row r="2" spans="1:5" x14ac:dyDescent="0.45">
      <c r="A2" t="s">
        <v>19</v>
      </c>
      <c r="B2" t="s">
        <v>20</v>
      </c>
      <c r="C2" t="s">
        <v>21</v>
      </c>
      <c r="D2" s="5">
        <v>25</v>
      </c>
      <c r="E2" s="5">
        <v>11</v>
      </c>
    </row>
    <row r="3" spans="1:5" x14ac:dyDescent="0.45">
      <c r="A3" t="s">
        <v>134</v>
      </c>
      <c r="B3" t="s">
        <v>135</v>
      </c>
      <c r="C3" t="s">
        <v>21</v>
      </c>
      <c r="D3" s="5">
        <v>79</v>
      </c>
      <c r="E3" s="5">
        <v>38</v>
      </c>
    </row>
    <row r="4" spans="1:5" x14ac:dyDescent="0.45">
      <c r="A4" t="s">
        <v>121</v>
      </c>
      <c r="B4" t="s">
        <v>122</v>
      </c>
      <c r="C4" t="s">
        <v>21</v>
      </c>
      <c r="D4" s="5">
        <v>45</v>
      </c>
      <c r="E4" s="5">
        <v>19</v>
      </c>
    </row>
    <row r="5" spans="1:5" x14ac:dyDescent="0.45">
      <c r="A5" t="s">
        <v>88</v>
      </c>
      <c r="B5" t="s">
        <v>89</v>
      </c>
      <c r="C5" t="s">
        <v>21</v>
      </c>
      <c r="D5" s="5">
        <v>35</v>
      </c>
      <c r="E5" s="5">
        <v>14</v>
      </c>
    </row>
    <row r="6" spans="1:5" x14ac:dyDescent="0.45">
      <c r="A6" t="s">
        <v>79</v>
      </c>
      <c r="B6" t="s">
        <v>80</v>
      </c>
      <c r="C6" t="s">
        <v>46</v>
      </c>
      <c r="D6" s="5">
        <v>240</v>
      </c>
      <c r="E6" s="5">
        <v>150</v>
      </c>
    </row>
    <row r="7" spans="1:5" x14ac:dyDescent="0.45">
      <c r="A7" t="s">
        <v>56</v>
      </c>
      <c r="B7" t="s">
        <v>57</v>
      </c>
      <c r="C7" t="s">
        <v>46</v>
      </c>
      <c r="D7" s="5">
        <v>520</v>
      </c>
      <c r="E7" s="5">
        <v>360</v>
      </c>
    </row>
    <row r="8" spans="1:5" x14ac:dyDescent="0.45">
      <c r="A8" t="s">
        <v>44</v>
      </c>
      <c r="B8" t="s">
        <v>45</v>
      </c>
      <c r="C8" t="s">
        <v>46</v>
      </c>
      <c r="D8" s="5">
        <v>180</v>
      </c>
      <c r="E8" s="5">
        <v>105</v>
      </c>
    </row>
    <row r="9" spans="1:5" x14ac:dyDescent="0.45">
      <c r="A9" t="s">
        <v>103</v>
      </c>
      <c r="B9" t="s">
        <v>104</v>
      </c>
      <c r="C9" t="s">
        <v>42</v>
      </c>
      <c r="D9" s="5">
        <v>1150</v>
      </c>
      <c r="E9" s="5">
        <v>820</v>
      </c>
    </row>
    <row r="10" spans="1:5" x14ac:dyDescent="0.45">
      <c r="A10" t="s">
        <v>62</v>
      </c>
      <c r="B10" t="s">
        <v>63</v>
      </c>
      <c r="C10" t="s">
        <v>42</v>
      </c>
      <c r="D10" s="5">
        <v>1750</v>
      </c>
      <c r="E10" s="5">
        <v>1300</v>
      </c>
    </row>
    <row r="11" spans="1:5" x14ac:dyDescent="0.45">
      <c r="A11" t="s">
        <v>40</v>
      </c>
      <c r="B11" t="s">
        <v>41</v>
      </c>
      <c r="C11" t="s">
        <v>42</v>
      </c>
      <c r="D11" s="5">
        <v>1050</v>
      </c>
      <c r="E11" s="5">
        <v>760</v>
      </c>
    </row>
    <row r="12" spans="1:5" x14ac:dyDescent="0.45">
      <c r="A12" t="s">
        <v>74</v>
      </c>
      <c r="B12" t="s">
        <v>75</v>
      </c>
      <c r="C12" t="s">
        <v>30</v>
      </c>
      <c r="D12" s="5">
        <v>210</v>
      </c>
      <c r="E12" s="5">
        <v>120</v>
      </c>
    </row>
    <row r="13" spans="1:5" x14ac:dyDescent="0.45">
      <c r="A13" t="s">
        <v>28</v>
      </c>
      <c r="B13" t="s">
        <v>29</v>
      </c>
      <c r="C13" t="s">
        <v>30</v>
      </c>
      <c r="D13" s="5">
        <v>95</v>
      </c>
      <c r="E13" s="5">
        <v>44</v>
      </c>
    </row>
    <row r="14" spans="1:5" x14ac:dyDescent="0.45">
      <c r="A14" t="s">
        <v>53</v>
      </c>
      <c r="B14" t="s">
        <v>54</v>
      </c>
      <c r="C14" t="s">
        <v>30</v>
      </c>
      <c r="D14" s="5">
        <v>130</v>
      </c>
      <c r="E14" s="5">
        <v>62</v>
      </c>
    </row>
    <row r="15" spans="1:5" x14ac:dyDescent="0.45">
      <c r="A15" t="s">
        <v>68</v>
      </c>
      <c r="B15" t="s">
        <v>69</v>
      </c>
      <c r="C15" t="s">
        <v>70</v>
      </c>
      <c r="D15" s="5">
        <v>110</v>
      </c>
      <c r="E15" s="5">
        <v>55</v>
      </c>
    </row>
    <row r="16" spans="1:5" x14ac:dyDescent="0.45">
      <c r="A16" t="s">
        <v>91</v>
      </c>
      <c r="B16" t="s">
        <v>92</v>
      </c>
      <c r="C16" t="s">
        <v>70</v>
      </c>
      <c r="D16" s="5">
        <v>160</v>
      </c>
      <c r="E16" s="5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 sqref="A1:D11"/>
    </sheetView>
  </sheetViews>
  <sheetFormatPr defaultRowHeight="14.25" x14ac:dyDescent="0.45"/>
  <cols>
    <col min="1" max="1" width="15.73046875" customWidth="1"/>
    <col min="2" max="2" width="15" customWidth="1"/>
    <col min="3" max="3" width="10" customWidth="1"/>
    <col min="4" max="4" width="22" customWidth="1"/>
  </cols>
  <sheetData>
    <row r="1" spans="1:4" s="1" customFormat="1" x14ac:dyDescent="0.45">
      <c r="A1" s="1" t="s">
        <v>5</v>
      </c>
      <c r="B1" s="1" t="s">
        <v>6</v>
      </c>
      <c r="C1" s="1" t="s">
        <v>3</v>
      </c>
      <c r="D1" s="1" t="s">
        <v>4</v>
      </c>
    </row>
    <row r="2" spans="1:4" x14ac:dyDescent="0.45">
      <c r="A2" t="s">
        <v>131</v>
      </c>
      <c r="B2" t="s">
        <v>132</v>
      </c>
      <c r="C2" t="s">
        <v>15</v>
      </c>
      <c r="D2" t="s">
        <v>130</v>
      </c>
    </row>
    <row r="3" spans="1:4" x14ac:dyDescent="0.45">
      <c r="A3" t="s">
        <v>17</v>
      </c>
      <c r="B3" t="s">
        <v>18</v>
      </c>
      <c r="C3" t="s">
        <v>15</v>
      </c>
      <c r="D3" t="s">
        <v>16</v>
      </c>
    </row>
    <row r="4" spans="1:4" x14ac:dyDescent="0.45">
      <c r="A4" t="s">
        <v>26</v>
      </c>
      <c r="B4" t="s">
        <v>27</v>
      </c>
      <c r="C4" t="s">
        <v>24</v>
      </c>
      <c r="D4" t="s">
        <v>25</v>
      </c>
    </row>
    <row r="5" spans="1:4" x14ac:dyDescent="0.45">
      <c r="A5" t="s">
        <v>51</v>
      </c>
      <c r="B5" t="s">
        <v>52</v>
      </c>
      <c r="C5" t="s">
        <v>36</v>
      </c>
      <c r="D5" t="s">
        <v>50</v>
      </c>
    </row>
    <row r="6" spans="1:4" x14ac:dyDescent="0.45">
      <c r="A6" t="s">
        <v>66</v>
      </c>
      <c r="B6" t="s">
        <v>67</v>
      </c>
      <c r="C6" t="s">
        <v>36</v>
      </c>
      <c r="D6" t="s">
        <v>65</v>
      </c>
    </row>
    <row r="7" spans="1:4" x14ac:dyDescent="0.45">
      <c r="A7" t="s">
        <v>83</v>
      </c>
      <c r="B7" t="s">
        <v>84</v>
      </c>
      <c r="C7" t="s">
        <v>15</v>
      </c>
      <c r="D7" t="s">
        <v>82</v>
      </c>
    </row>
    <row r="8" spans="1:4" x14ac:dyDescent="0.45">
      <c r="A8" t="s">
        <v>33</v>
      </c>
      <c r="B8" t="s">
        <v>34</v>
      </c>
      <c r="C8" t="s">
        <v>15</v>
      </c>
      <c r="D8" t="s">
        <v>32</v>
      </c>
    </row>
    <row r="9" spans="1:4" x14ac:dyDescent="0.45">
      <c r="A9" t="s">
        <v>60</v>
      </c>
      <c r="B9" t="s">
        <v>61</v>
      </c>
      <c r="C9" t="s">
        <v>24</v>
      </c>
      <c r="D9" t="s">
        <v>59</v>
      </c>
    </row>
    <row r="10" spans="1:4" x14ac:dyDescent="0.45">
      <c r="A10" t="s">
        <v>38</v>
      </c>
      <c r="B10" t="s">
        <v>39</v>
      </c>
      <c r="C10" t="s">
        <v>36</v>
      </c>
      <c r="D10" t="s">
        <v>37</v>
      </c>
    </row>
    <row r="11" spans="1:4" x14ac:dyDescent="0.45">
      <c r="A11" t="s">
        <v>139</v>
      </c>
      <c r="B11" t="s">
        <v>140</v>
      </c>
      <c r="C11" t="s">
        <v>36</v>
      </c>
      <c r="D11" t="s">
        <v>138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1102-55A9-45ED-8B34-F83BCC71966E}">
  <dimension ref="A1:D11"/>
  <sheetViews>
    <sheetView tabSelected="1" topLeftCell="A4" workbookViewId="0">
      <selection activeCell="R9" sqref="R9"/>
    </sheetView>
  </sheetViews>
  <sheetFormatPr defaultRowHeight="14.25" x14ac:dyDescent="0.45"/>
  <cols>
    <col min="2" max="2" width="12.33203125" bestFit="1" customWidth="1"/>
    <col min="3" max="3" width="7.9296875" bestFit="1" customWidth="1"/>
    <col min="4" max="4" width="17.73046875" bestFit="1" customWidth="1"/>
  </cols>
  <sheetData>
    <row r="1" spans="1:4" x14ac:dyDescent="0.45">
      <c r="A1" s="1" t="s">
        <v>5</v>
      </c>
      <c r="B1" s="1" t="s">
        <v>6</v>
      </c>
      <c r="C1" s="1" t="s">
        <v>3</v>
      </c>
      <c r="D1" s="1" t="s">
        <v>4</v>
      </c>
    </row>
    <row r="2" spans="1:4" x14ac:dyDescent="0.45">
      <c r="A2" t="s">
        <v>131</v>
      </c>
      <c r="B2" t="s">
        <v>132</v>
      </c>
      <c r="C2" t="s">
        <v>15</v>
      </c>
      <c r="D2" t="s">
        <v>130</v>
      </c>
    </row>
    <row r="3" spans="1:4" x14ac:dyDescent="0.45">
      <c r="A3" t="s">
        <v>17</v>
      </c>
      <c r="B3" t="s">
        <v>18</v>
      </c>
      <c r="C3" t="s">
        <v>15</v>
      </c>
      <c r="D3" t="s">
        <v>16</v>
      </c>
    </row>
    <row r="4" spans="1:4" x14ac:dyDescent="0.45">
      <c r="A4" t="s">
        <v>26</v>
      </c>
      <c r="B4" t="s">
        <v>27</v>
      </c>
      <c r="C4" t="s">
        <v>24</v>
      </c>
      <c r="D4" t="s">
        <v>25</v>
      </c>
    </row>
    <row r="5" spans="1:4" x14ac:dyDescent="0.45">
      <c r="A5" t="s">
        <v>51</v>
      </c>
      <c r="B5" t="s">
        <v>52</v>
      </c>
      <c r="C5" t="s">
        <v>36</v>
      </c>
      <c r="D5" t="s">
        <v>50</v>
      </c>
    </row>
    <row r="6" spans="1:4" x14ac:dyDescent="0.45">
      <c r="A6" t="s">
        <v>66</v>
      </c>
      <c r="B6" t="s">
        <v>67</v>
      </c>
      <c r="C6" t="s">
        <v>36</v>
      </c>
      <c r="D6" t="s">
        <v>65</v>
      </c>
    </row>
    <row r="7" spans="1:4" x14ac:dyDescent="0.45">
      <c r="A7" t="s">
        <v>83</v>
      </c>
      <c r="B7" t="s">
        <v>84</v>
      </c>
      <c r="C7" t="s">
        <v>15</v>
      </c>
      <c r="D7" t="s">
        <v>82</v>
      </c>
    </row>
    <row r="8" spans="1:4" x14ac:dyDescent="0.45">
      <c r="A8" t="s">
        <v>33</v>
      </c>
      <c r="B8" t="s">
        <v>34</v>
      </c>
      <c r="C8" t="s">
        <v>15</v>
      </c>
      <c r="D8" t="s">
        <v>32</v>
      </c>
    </row>
    <row r="9" spans="1:4" x14ac:dyDescent="0.45">
      <c r="A9" t="s">
        <v>60</v>
      </c>
      <c r="B9" t="s">
        <v>61</v>
      </c>
      <c r="C9" t="s">
        <v>24</v>
      </c>
      <c r="D9" t="s">
        <v>59</v>
      </c>
    </row>
    <row r="10" spans="1:4" x14ac:dyDescent="0.45">
      <c r="A10" t="s">
        <v>38</v>
      </c>
      <c r="B10" t="s">
        <v>39</v>
      </c>
      <c r="C10" t="s">
        <v>36</v>
      </c>
      <c r="D10" t="s">
        <v>37</v>
      </c>
    </row>
    <row r="11" spans="1:4" x14ac:dyDescent="0.45">
      <c r="A11" t="s">
        <v>139</v>
      </c>
      <c r="B11" t="s">
        <v>140</v>
      </c>
      <c r="C11" t="s">
        <v>36</v>
      </c>
      <c r="D11" t="s">
        <v>138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584809-D4E4-4F9E-8C03-7971D91B68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</vt:lpstr>
      <vt:lpstr>01_sales</vt:lpstr>
      <vt:lpstr>Products</vt:lpstr>
      <vt:lpstr>01_products</vt:lpstr>
      <vt:lpstr>Salespeople</vt:lpstr>
      <vt:lpstr>01_salespeople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Rajan Shrestha</cp:lastModifiedBy>
  <dcterms:created xsi:type="dcterms:W3CDTF">2026-06-17T18:31:31Z</dcterms:created>
  <dcterms:modified xsi:type="dcterms:W3CDTF">2026-06-23T15:18:46Z</dcterms:modified>
</cp:coreProperties>
</file>